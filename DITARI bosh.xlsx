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++ viti III" sheetId="1" r:id="rId4"/>
    <sheet state="visible" name="JAVA viti IV" sheetId="2" r:id="rId5"/>
    <sheet state="visible" name="Oret pushim " sheetId="3" r:id="rId6"/>
    <sheet state="visible" name="Ditari javor" sheetId="4" r:id="rId7"/>
    <sheet state="visible" name="Ditari C++" sheetId="5" r:id="rId8"/>
    <sheet state="visible" name="Ditari JAVA" sheetId="6" r:id="rId9"/>
  </sheets>
  <definedNames/>
  <calcPr/>
  <extLst>
    <ext uri="GoogleSheetsCustomDataVersion2">
      <go:sheetsCustomData xmlns:go="http://customooxmlschemas.google.com/" r:id="rId10" roundtripDataChecksum="is5/JD7xQAErt/NFaT9tLU9ItMwdkL1yYBEill7TWyw="/>
    </ext>
  </extLst>
</workbook>
</file>

<file path=xl/sharedStrings.xml><?xml version="1.0" encoding="utf-8"?>
<sst xmlns="http://schemas.openxmlformats.org/spreadsheetml/2006/main" count="3025" uniqueCount="1499">
  <si>
    <t>Nr</t>
  </si>
  <si>
    <t>Tema</t>
  </si>
  <si>
    <t>Detyra Shtepie</t>
  </si>
  <si>
    <t>Fq Ditari</t>
  </si>
  <si>
    <r>
      <rPr>
        <rFont val="Times New Roman"/>
        <b/>
        <color theme="1"/>
        <sz val="12.0"/>
      </rPr>
      <t>Situata e të nxënit</t>
    </r>
    <r>
      <rPr>
        <rFont val="Times New Roman"/>
        <b/>
        <i/>
        <color theme="1"/>
        <sz val="12.0"/>
      </rPr>
      <t xml:space="preserve">: </t>
    </r>
  </si>
  <si>
    <t>Metodologjia dhe veprimtaritë e nxënësve:</t>
  </si>
  <si>
    <t xml:space="preserve">Vlerësimi: </t>
  </si>
  <si>
    <t>Burimet:</t>
  </si>
  <si>
    <t>Rezultatet e të nxënit sipas kompetencave kyç:</t>
  </si>
  <si>
    <t xml:space="preserve">Fjalët kyç: </t>
  </si>
  <si>
    <t>Lidhja me fusha të tjera ose me temat ndërkurrikulare:</t>
  </si>
  <si>
    <t>Organizimi i orës së mësimit:</t>
  </si>
  <si>
    <t>Detyre shtepie:</t>
  </si>
  <si>
    <t xml:space="preserve">Kompetencat që përfitojnë: </t>
  </si>
  <si>
    <t>Java</t>
  </si>
  <si>
    <t>Lenda1 Tema1</t>
  </si>
  <si>
    <t>Detyre shtepie 1</t>
  </si>
  <si>
    <t>faqe 1</t>
  </si>
  <si>
    <t>Situata 1</t>
  </si>
  <si>
    <t>Metodologjia 1</t>
  </si>
  <si>
    <t>Vleresimi 1</t>
  </si>
  <si>
    <t>Burimi 1</t>
  </si>
  <si>
    <t>Rezultati 1</t>
  </si>
  <si>
    <t>Fjale Kyce 1</t>
  </si>
  <si>
    <t>Lidhja me fushat e tjera 1</t>
  </si>
  <si>
    <t>Organizimi 1</t>
  </si>
  <si>
    <t>Detyre shtepie 1:</t>
  </si>
  <si>
    <t>Kompetenca 1</t>
  </si>
  <si>
    <t>Lenda1 Tema2</t>
  </si>
  <si>
    <t>Detyre shtepie 2</t>
  </si>
  <si>
    <t>faqe 2</t>
  </si>
  <si>
    <t>Situata 2</t>
  </si>
  <si>
    <t>Metodologjia 2</t>
  </si>
  <si>
    <t>Vleresimi 2</t>
  </si>
  <si>
    <t>Burimi 2</t>
  </si>
  <si>
    <t>Rezultati 2</t>
  </si>
  <si>
    <t>Fjale Kyce 2</t>
  </si>
  <si>
    <t>Lidhja me fushat e tjera 2</t>
  </si>
  <si>
    <t>Organizimi 2</t>
  </si>
  <si>
    <t>Kompetenca 2</t>
  </si>
  <si>
    <t>Lenda1 Tema3</t>
  </si>
  <si>
    <t>Detyre shtepie 3</t>
  </si>
  <si>
    <t>faqe 3</t>
  </si>
  <si>
    <t>Situata 3</t>
  </si>
  <si>
    <t>Metodologjia 3</t>
  </si>
  <si>
    <t>Vleresimi 3</t>
  </si>
  <si>
    <t>Burimi 3</t>
  </si>
  <si>
    <t>Rezultati 3</t>
  </si>
  <si>
    <t>Fjale Kyce 3</t>
  </si>
  <si>
    <t>Lidhja me fushat e tjera 3</t>
  </si>
  <si>
    <t>Organizimi 3</t>
  </si>
  <si>
    <t>Kompetenca 3</t>
  </si>
  <si>
    <t>Lenda1 Tema4</t>
  </si>
  <si>
    <t>Detyre shtepie 4</t>
  </si>
  <si>
    <t>faqe 4</t>
  </si>
  <si>
    <t>Situata 4</t>
  </si>
  <si>
    <t>Metodologjia 4</t>
  </si>
  <si>
    <t>Vleresimi 4</t>
  </si>
  <si>
    <t>Burimi 4</t>
  </si>
  <si>
    <t>Rezultati 4</t>
  </si>
  <si>
    <t>Fjale Kyce 4</t>
  </si>
  <si>
    <t>Lidhja me fushat e tjera 4</t>
  </si>
  <si>
    <t>Organizimi 4</t>
  </si>
  <si>
    <t>Kompetenca 4</t>
  </si>
  <si>
    <t>Lenda1 Tema5</t>
  </si>
  <si>
    <t>Detyre shtepie 5</t>
  </si>
  <si>
    <t>faqe 5</t>
  </si>
  <si>
    <t>Situata 5</t>
  </si>
  <si>
    <t>Metodologjia 5</t>
  </si>
  <si>
    <t>Vleresimi 5</t>
  </si>
  <si>
    <t>Burimi 5</t>
  </si>
  <si>
    <t>Rezultati 5</t>
  </si>
  <si>
    <t>Fjale Kyce 5</t>
  </si>
  <si>
    <t>Lidhja me fushat e tjera 5</t>
  </si>
  <si>
    <t>Organizimi 5</t>
  </si>
  <si>
    <t>Kompetenca 5</t>
  </si>
  <si>
    <t>Lenda1 Tema6</t>
  </si>
  <si>
    <t>Detyre shtepie 6</t>
  </si>
  <si>
    <t>faqe 6</t>
  </si>
  <si>
    <t>Situata 6</t>
  </si>
  <si>
    <t>Metodologjia 6</t>
  </si>
  <si>
    <t>Vleresimi 6</t>
  </si>
  <si>
    <t>Burimi 6</t>
  </si>
  <si>
    <t>Rezultati 6</t>
  </si>
  <si>
    <t>Fjale Kyce 6</t>
  </si>
  <si>
    <t>Lidhja me fushat e tjera 6</t>
  </si>
  <si>
    <t>Organizimi 6</t>
  </si>
  <si>
    <t>Kompetenca 6</t>
  </si>
  <si>
    <t>Lenda1 Tema7</t>
  </si>
  <si>
    <t>Detyre shtepie 7</t>
  </si>
  <si>
    <t>faqe 7</t>
  </si>
  <si>
    <t>Situata 7</t>
  </si>
  <si>
    <t>Metodologjia 7</t>
  </si>
  <si>
    <t>Vleresimi 7</t>
  </si>
  <si>
    <t>Burimi 7</t>
  </si>
  <si>
    <t>Rezultati 7</t>
  </si>
  <si>
    <t>Fjale Kyce 7</t>
  </si>
  <si>
    <t>Lidhja me fushat e tjera 7</t>
  </si>
  <si>
    <t>Organizimi 7</t>
  </si>
  <si>
    <t>Kompetenca 7</t>
  </si>
  <si>
    <t>Lenda1 Tema8</t>
  </si>
  <si>
    <t>Detyre shtepie 8</t>
  </si>
  <si>
    <t>faqe 8</t>
  </si>
  <si>
    <t>Situata 8</t>
  </si>
  <si>
    <t>Metodologjia 8</t>
  </si>
  <si>
    <t>Vleresimi 8</t>
  </si>
  <si>
    <t>Burimi 8</t>
  </si>
  <si>
    <t>Rezultati 8</t>
  </si>
  <si>
    <t>Fjale Kyce 8</t>
  </si>
  <si>
    <t>Lidhja me fushat e tjera 8</t>
  </si>
  <si>
    <t>Organizimi 8</t>
  </si>
  <si>
    <t>Kompetenca 8</t>
  </si>
  <si>
    <t>Lenda1 Tema9</t>
  </si>
  <si>
    <t>Detyre shtepie 9</t>
  </si>
  <si>
    <t>faqe 9</t>
  </si>
  <si>
    <t>Situata 9</t>
  </si>
  <si>
    <t>Metodologjia 9</t>
  </si>
  <si>
    <t>Vleresimi 9</t>
  </si>
  <si>
    <t>Burimi 9</t>
  </si>
  <si>
    <t>Rezultati 9</t>
  </si>
  <si>
    <t>Fjale Kyce 9</t>
  </si>
  <si>
    <t>Lidhja me fushat e tjera 9</t>
  </si>
  <si>
    <t>Organizimi 9</t>
  </si>
  <si>
    <t>Kompetenca 9</t>
  </si>
  <si>
    <t>Lenda1 Tema10</t>
  </si>
  <si>
    <t>Detyre shtepie 10</t>
  </si>
  <si>
    <t>faqe 10</t>
  </si>
  <si>
    <t>Situata 10</t>
  </si>
  <si>
    <t>Metodologjia 10</t>
  </si>
  <si>
    <t>Vleresimi 10</t>
  </si>
  <si>
    <t>Burimi 10</t>
  </si>
  <si>
    <t>Rezultati 10</t>
  </si>
  <si>
    <t>Fjale Kyce 10</t>
  </si>
  <si>
    <t>Lidhja me fushat e tjera 10</t>
  </si>
  <si>
    <t>Organizimi 10</t>
  </si>
  <si>
    <t>Kompetenca 10</t>
  </si>
  <si>
    <t>Lenda1 Tema11</t>
  </si>
  <si>
    <t>Detyre shtepie 11</t>
  </si>
  <si>
    <t>faqe 11</t>
  </si>
  <si>
    <t>Situata 11</t>
  </si>
  <si>
    <t>Metodologjia 11</t>
  </si>
  <si>
    <t>Vleresimi 11</t>
  </si>
  <si>
    <t>Burimi 11</t>
  </si>
  <si>
    <t>Rezultati 11</t>
  </si>
  <si>
    <t>Fjale Kyce 11</t>
  </si>
  <si>
    <t>Lidhja me fushat e tjera 11</t>
  </si>
  <si>
    <t>Organizimi 11</t>
  </si>
  <si>
    <t>Kompetenca 11</t>
  </si>
  <si>
    <t>Lenda1 Tema12</t>
  </si>
  <si>
    <t>Detyre shtepie 12</t>
  </si>
  <si>
    <t>faqe 12</t>
  </si>
  <si>
    <t>Situata 12</t>
  </si>
  <si>
    <t>Metodologjia 12</t>
  </si>
  <si>
    <t>Vleresimi 12</t>
  </si>
  <si>
    <t>Burimi 12</t>
  </si>
  <si>
    <t>Rezultati 12</t>
  </si>
  <si>
    <t>Fjale Kyce 12</t>
  </si>
  <si>
    <t>Lidhja me fushat e tjera 12</t>
  </si>
  <si>
    <t>Organizimi 12</t>
  </si>
  <si>
    <t>Kompetenca 12</t>
  </si>
  <si>
    <t>Lenda1 Tema13</t>
  </si>
  <si>
    <t>Detyre shtepie 13</t>
  </si>
  <si>
    <t>faqe 13</t>
  </si>
  <si>
    <t>Situata 13</t>
  </si>
  <si>
    <t>Metodologjia 13</t>
  </si>
  <si>
    <t>Vleresimi 13</t>
  </si>
  <si>
    <t>Burimi 13</t>
  </si>
  <si>
    <t>Rezultati 13</t>
  </si>
  <si>
    <t>Fjale Kyce 13</t>
  </si>
  <si>
    <t>Lidhja me fushat e tjera 13</t>
  </si>
  <si>
    <t>Organizimi 13</t>
  </si>
  <si>
    <t>Kompetenca 13</t>
  </si>
  <si>
    <t>Lenda1 Tema14</t>
  </si>
  <si>
    <t>Detyre shtepie 14</t>
  </si>
  <si>
    <t>faqe 14</t>
  </si>
  <si>
    <t>Situata 14</t>
  </si>
  <si>
    <t>Metodologjia 14</t>
  </si>
  <si>
    <t>Vleresimi 14</t>
  </si>
  <si>
    <t>Burimi 14</t>
  </si>
  <si>
    <t>Rezultati 14</t>
  </si>
  <si>
    <t>Fjale Kyce 14</t>
  </si>
  <si>
    <t>Lidhja me fushat e tjera 14</t>
  </si>
  <si>
    <t>Organizimi 14</t>
  </si>
  <si>
    <t>Kompetenca 14</t>
  </si>
  <si>
    <t>Lenda1 Tema15</t>
  </si>
  <si>
    <t>Detyre shtepie 15</t>
  </si>
  <si>
    <t>faqe 15</t>
  </si>
  <si>
    <t>Situata 15</t>
  </si>
  <si>
    <t>Metodologjia 15</t>
  </si>
  <si>
    <t>Vleresimi 15</t>
  </si>
  <si>
    <t>Burimi 15</t>
  </si>
  <si>
    <t>Rezultati 15</t>
  </si>
  <si>
    <t>Fjale Kyce 15</t>
  </si>
  <si>
    <t>Lidhja me fushat e tjera 15</t>
  </si>
  <si>
    <t>Organizimi 15</t>
  </si>
  <si>
    <t>Kompetenca 15</t>
  </si>
  <si>
    <t>Lenda1 Tema16</t>
  </si>
  <si>
    <t>Detyre shtepie 16</t>
  </si>
  <si>
    <t>faqe 16</t>
  </si>
  <si>
    <t>Situata 16</t>
  </si>
  <si>
    <t>Metodologjia 16</t>
  </si>
  <si>
    <t>Vleresimi 16</t>
  </si>
  <si>
    <t>Burimi 16</t>
  </si>
  <si>
    <t>Rezultati 16</t>
  </si>
  <si>
    <t>Fjale Kyce 16</t>
  </si>
  <si>
    <t>Lidhja me fushat e tjera 16</t>
  </si>
  <si>
    <t>Organizimi 16</t>
  </si>
  <si>
    <t>Kompetenca 16</t>
  </si>
  <si>
    <t>Lenda1 Tema17</t>
  </si>
  <si>
    <t>Detyre shtepie 17</t>
  </si>
  <si>
    <t>faqe 17</t>
  </si>
  <si>
    <t>Situata 17</t>
  </si>
  <si>
    <t>Metodologjia 17</t>
  </si>
  <si>
    <t>Vleresimi 17</t>
  </si>
  <si>
    <t>Burimi 17</t>
  </si>
  <si>
    <t>Rezultati 17</t>
  </si>
  <si>
    <t>Fjale Kyce 17</t>
  </si>
  <si>
    <t>Lidhja me fushat e tjera 17</t>
  </si>
  <si>
    <t>Organizimi 17</t>
  </si>
  <si>
    <t>Kompetenca 17</t>
  </si>
  <si>
    <t>Lenda1 Tema18</t>
  </si>
  <si>
    <t>Detyre shtepie 18</t>
  </si>
  <si>
    <t>faqe 18</t>
  </si>
  <si>
    <t>Situata 18</t>
  </si>
  <si>
    <t>Metodologjia 18</t>
  </si>
  <si>
    <t>Vleresimi 18</t>
  </si>
  <si>
    <t>Burimi 18</t>
  </si>
  <si>
    <t>Rezultati 18</t>
  </si>
  <si>
    <t>Fjale Kyce 18</t>
  </si>
  <si>
    <t>Lidhja me fushat e tjera 18</t>
  </si>
  <si>
    <t>Organizimi 18</t>
  </si>
  <si>
    <t>Kompetenca 18</t>
  </si>
  <si>
    <t>Lenda1 Tema19</t>
  </si>
  <si>
    <t>Detyre shtepie 19</t>
  </si>
  <si>
    <t>faqe 19</t>
  </si>
  <si>
    <t>Situata 19</t>
  </si>
  <si>
    <t>Metodologjia 19</t>
  </si>
  <si>
    <t>Vleresimi 19</t>
  </si>
  <si>
    <t>Burimi 19</t>
  </si>
  <si>
    <t>Rezultati 19</t>
  </si>
  <si>
    <t>Fjale Kyce 19</t>
  </si>
  <si>
    <t>Lidhja me fushat e tjera 19</t>
  </si>
  <si>
    <t>Organizimi 19</t>
  </si>
  <si>
    <t>Kompetenca 19</t>
  </si>
  <si>
    <t>Lenda1 Tema20</t>
  </si>
  <si>
    <t>Detyre shtepie 20</t>
  </si>
  <si>
    <t>faqe 20</t>
  </si>
  <si>
    <t>Situata 20</t>
  </si>
  <si>
    <t>Metodologjia 20</t>
  </si>
  <si>
    <t>Vleresimi 20</t>
  </si>
  <si>
    <t>Burimi 20</t>
  </si>
  <si>
    <t>Rezultati 20</t>
  </si>
  <si>
    <t>Fjale Kyce 20</t>
  </si>
  <si>
    <t>Lidhja me fushat e tjera 20</t>
  </si>
  <si>
    <t>Organizimi 20</t>
  </si>
  <si>
    <t>Kompetenca 20</t>
  </si>
  <si>
    <t>Lenda1 Tema21</t>
  </si>
  <si>
    <t>Detyre shtepie 21</t>
  </si>
  <si>
    <t>faqe 21</t>
  </si>
  <si>
    <t>Situata 21</t>
  </si>
  <si>
    <t>Metodologjia 21</t>
  </si>
  <si>
    <t>Vleresimi 21</t>
  </si>
  <si>
    <t>Burimi 21</t>
  </si>
  <si>
    <t>Rezultati 21</t>
  </si>
  <si>
    <t>Fjale Kyce 21</t>
  </si>
  <si>
    <t>Lidhja me fushat e tjera 21</t>
  </si>
  <si>
    <t>Organizimi 21</t>
  </si>
  <si>
    <t>Kompetenca 21</t>
  </si>
  <si>
    <t>Lenda1 Tema22</t>
  </si>
  <si>
    <t>Detyre shtepie 22</t>
  </si>
  <si>
    <t>faqe 22</t>
  </si>
  <si>
    <t>Situata 22</t>
  </si>
  <si>
    <t>Metodologjia 22</t>
  </si>
  <si>
    <t>Vleresimi 22</t>
  </si>
  <si>
    <t>Burimi 22</t>
  </si>
  <si>
    <t>Rezultati 22</t>
  </si>
  <si>
    <t>Fjale Kyce 22</t>
  </si>
  <si>
    <t>Lidhja me fushat e tjera 22</t>
  </si>
  <si>
    <t>Organizimi 22</t>
  </si>
  <si>
    <t>Kompetenca 22</t>
  </si>
  <si>
    <t>Lenda1 Tema23</t>
  </si>
  <si>
    <t>Detyre shtepie 23</t>
  </si>
  <si>
    <t>faqe 23</t>
  </si>
  <si>
    <t>Situata 23</t>
  </si>
  <si>
    <t>Metodologjia 23</t>
  </si>
  <si>
    <t>Vleresimi 23</t>
  </si>
  <si>
    <t>Burimi 23</t>
  </si>
  <si>
    <t>Rezultati 23</t>
  </si>
  <si>
    <t>Fjale Kyce 23</t>
  </si>
  <si>
    <t>Lidhja me fushat e tjera 23</t>
  </si>
  <si>
    <t>Organizimi 23</t>
  </si>
  <si>
    <t>Kompetenca 23</t>
  </si>
  <si>
    <t>Lenda1 Tema24</t>
  </si>
  <si>
    <t>Detyre shtepie 24</t>
  </si>
  <si>
    <t>faqe 24</t>
  </si>
  <si>
    <t>Situata 24</t>
  </si>
  <si>
    <t>Metodologjia 24</t>
  </si>
  <si>
    <t>Vleresimi 24</t>
  </si>
  <si>
    <t>Burimi 24</t>
  </si>
  <si>
    <t>Rezultati 24</t>
  </si>
  <si>
    <t>Fjale Kyce 24</t>
  </si>
  <si>
    <t>Lidhja me fushat e tjera 24</t>
  </si>
  <si>
    <t>Organizimi 24</t>
  </si>
  <si>
    <t>Kompetenca 24</t>
  </si>
  <si>
    <t>Lenda1 Tema25</t>
  </si>
  <si>
    <t>Detyre shtepie 25</t>
  </si>
  <si>
    <t>faqe 25</t>
  </si>
  <si>
    <t>Situata 25</t>
  </si>
  <si>
    <t>Metodologjia 25</t>
  </si>
  <si>
    <t>Vleresimi 25</t>
  </si>
  <si>
    <t>Burimi 25</t>
  </si>
  <si>
    <t>Rezultati 25</t>
  </si>
  <si>
    <t>Fjale Kyce 25</t>
  </si>
  <si>
    <t>Lidhja me fushat e tjera 25</t>
  </si>
  <si>
    <t>Organizimi 25</t>
  </si>
  <si>
    <t>Kompetenca 25</t>
  </si>
  <si>
    <t>Lenda1 Tema26</t>
  </si>
  <si>
    <t>Detyre shtepie 26</t>
  </si>
  <si>
    <t>faqe 26</t>
  </si>
  <si>
    <t>Situata 26</t>
  </si>
  <si>
    <t>Metodologjia 26</t>
  </si>
  <si>
    <t>Vleresimi 26</t>
  </si>
  <si>
    <t>Burimi 26</t>
  </si>
  <si>
    <t>Rezultati 26</t>
  </si>
  <si>
    <t>Fjale Kyce 26</t>
  </si>
  <si>
    <t>Lidhja me fushat e tjera 26</t>
  </si>
  <si>
    <t>Organizimi 26</t>
  </si>
  <si>
    <t>Kompetenca 26</t>
  </si>
  <si>
    <t>Lenda1 Tema27</t>
  </si>
  <si>
    <t>Detyre shtepie 27</t>
  </si>
  <si>
    <t>faqe 27</t>
  </si>
  <si>
    <t>Situata 27</t>
  </si>
  <si>
    <t>Metodologjia 27</t>
  </si>
  <si>
    <t>Vleresimi 27</t>
  </si>
  <si>
    <t>Burimi 27</t>
  </si>
  <si>
    <t>Rezultati 27</t>
  </si>
  <si>
    <t>Fjale Kyce 27</t>
  </si>
  <si>
    <t>Lidhja me fushat e tjera 27</t>
  </si>
  <si>
    <t>Organizimi 27</t>
  </si>
  <si>
    <t>Kompetenca 27</t>
  </si>
  <si>
    <t>Lenda1 Tema28</t>
  </si>
  <si>
    <t>Detyre shtepie 28</t>
  </si>
  <si>
    <t>faqe 28</t>
  </si>
  <si>
    <t>Situata 28</t>
  </si>
  <si>
    <t>Metodologjia 28</t>
  </si>
  <si>
    <t>Vleresimi 28</t>
  </si>
  <si>
    <t>Burimi 28</t>
  </si>
  <si>
    <t>Rezultati 28</t>
  </si>
  <si>
    <t>Fjale Kyce 28</t>
  </si>
  <si>
    <t>Lidhja me fushat e tjera 28</t>
  </si>
  <si>
    <t>Organizimi 28</t>
  </si>
  <si>
    <t>Kompetenca 28</t>
  </si>
  <si>
    <t>Lenda1 Tema29</t>
  </si>
  <si>
    <t>Detyre shtepie 29</t>
  </si>
  <si>
    <t>faqe 29</t>
  </si>
  <si>
    <t>Situata 29</t>
  </si>
  <si>
    <t>Metodologjia 29</t>
  </si>
  <si>
    <t>Vleresimi 29</t>
  </si>
  <si>
    <t>Burimi 29</t>
  </si>
  <si>
    <t>Rezultati 29</t>
  </si>
  <si>
    <t>Fjale Kyce 29</t>
  </si>
  <si>
    <t>Lidhja me fushat e tjera 29</t>
  </si>
  <si>
    <t>Organizimi 29</t>
  </si>
  <si>
    <t>Kompetenca 29</t>
  </si>
  <si>
    <t>Lenda1 Tema30</t>
  </si>
  <si>
    <t>Detyre shtepie 30</t>
  </si>
  <si>
    <t>faqe 30</t>
  </si>
  <si>
    <t>Situata 30</t>
  </si>
  <si>
    <t>Metodologjia 30</t>
  </si>
  <si>
    <t>Vleresimi 30</t>
  </si>
  <si>
    <t>Burimi 30</t>
  </si>
  <si>
    <t>Rezultati 30</t>
  </si>
  <si>
    <t>Fjale Kyce 30</t>
  </si>
  <si>
    <t>Lidhja me fushat e tjera 30</t>
  </si>
  <si>
    <t>Organizimi 30</t>
  </si>
  <si>
    <t>Kompetenca 30</t>
  </si>
  <si>
    <t>Lenda1 Tema31</t>
  </si>
  <si>
    <t>Detyre shtepie 31</t>
  </si>
  <si>
    <t>faqe 31</t>
  </si>
  <si>
    <t>Situata 31</t>
  </si>
  <si>
    <t>Metodologjia 31</t>
  </si>
  <si>
    <t>Vleresimi 31</t>
  </si>
  <si>
    <t>Burimi 31</t>
  </si>
  <si>
    <t>Rezultati 31</t>
  </si>
  <si>
    <t>Fjale Kyce 31</t>
  </si>
  <si>
    <t>Lidhja me fushat e tjera 31</t>
  </si>
  <si>
    <t>Organizimi 31</t>
  </si>
  <si>
    <t>Kompetenca 31</t>
  </si>
  <si>
    <t>Lenda1 Tema32</t>
  </si>
  <si>
    <t>Detyre shtepie 32</t>
  </si>
  <si>
    <t>faqe 32</t>
  </si>
  <si>
    <t>Situata 32</t>
  </si>
  <si>
    <t>Metodologjia 32</t>
  </si>
  <si>
    <t>Vleresimi 32</t>
  </si>
  <si>
    <t>Burimi 32</t>
  </si>
  <si>
    <t>Rezultati 32</t>
  </si>
  <si>
    <t>Fjale Kyce 32</t>
  </si>
  <si>
    <t>Lidhja me fushat e tjera 32</t>
  </si>
  <si>
    <t>Organizimi 32</t>
  </si>
  <si>
    <t>Kompetenca 32</t>
  </si>
  <si>
    <t>Lenda1 Tema33</t>
  </si>
  <si>
    <t>Detyre shtepie 33</t>
  </si>
  <si>
    <t>faqe 33</t>
  </si>
  <si>
    <t>Situata 33</t>
  </si>
  <si>
    <t>Metodologjia 33</t>
  </si>
  <si>
    <t>Vleresimi 33</t>
  </si>
  <si>
    <t>Burimi 33</t>
  </si>
  <si>
    <t>Rezultati 33</t>
  </si>
  <si>
    <t>Fjale Kyce 33</t>
  </si>
  <si>
    <t>Lidhja me fushat e tjera 33</t>
  </si>
  <si>
    <t>Organizimi 33</t>
  </si>
  <si>
    <t>Kompetenca 33</t>
  </si>
  <si>
    <t>Lenda1 Tema34</t>
  </si>
  <si>
    <t>Detyre shtepie 34</t>
  </si>
  <si>
    <t>faqe 34</t>
  </si>
  <si>
    <t>Situata 34</t>
  </si>
  <si>
    <t>Metodologjia 34</t>
  </si>
  <si>
    <t>Vleresimi 34</t>
  </si>
  <si>
    <t>Burimi 34</t>
  </si>
  <si>
    <t>Rezultati 34</t>
  </si>
  <si>
    <t>Fjale Kyce 34</t>
  </si>
  <si>
    <t>Lidhja me fushat e tjera 34</t>
  </si>
  <si>
    <t>Organizimi 34</t>
  </si>
  <si>
    <t>Kompetenca 34</t>
  </si>
  <si>
    <t>Lenda1 Tema35</t>
  </si>
  <si>
    <t>Detyre shtepie 35</t>
  </si>
  <si>
    <t>faqe 35</t>
  </si>
  <si>
    <t>Situata 35</t>
  </si>
  <si>
    <t>Metodologjia 35</t>
  </si>
  <si>
    <t>Vleresimi 35</t>
  </si>
  <si>
    <t>Burimi 35</t>
  </si>
  <si>
    <t>Rezultati 35</t>
  </si>
  <si>
    <t>Fjale Kyce 35</t>
  </si>
  <si>
    <t>Lidhja me fushat e tjera 35</t>
  </si>
  <si>
    <t>Organizimi 35</t>
  </si>
  <si>
    <t>Kompetenca 35</t>
  </si>
  <si>
    <t>Lenda1 Tema36</t>
  </si>
  <si>
    <t>Detyre shtepie 36</t>
  </si>
  <si>
    <t>faqe 36</t>
  </si>
  <si>
    <t>Situata 36</t>
  </si>
  <si>
    <t>Metodologjia 36</t>
  </si>
  <si>
    <t>Vleresimi 36</t>
  </si>
  <si>
    <t>Burimi 36</t>
  </si>
  <si>
    <t>Rezultati 36</t>
  </si>
  <si>
    <t>Fjale Kyce 36</t>
  </si>
  <si>
    <t>Lidhja me fushat e tjera 36</t>
  </si>
  <si>
    <t>Organizimi 36</t>
  </si>
  <si>
    <t>Kompetenca 36</t>
  </si>
  <si>
    <t>Lenda1 Tema37</t>
  </si>
  <si>
    <t>Detyre shtepie 37</t>
  </si>
  <si>
    <t>faqe 37</t>
  </si>
  <si>
    <t>Situata 37</t>
  </si>
  <si>
    <t>Metodologjia 37</t>
  </si>
  <si>
    <t>Vleresimi 37</t>
  </si>
  <si>
    <t>Burimi 37</t>
  </si>
  <si>
    <t>Rezultati 37</t>
  </si>
  <si>
    <t>Fjale Kyce 37</t>
  </si>
  <si>
    <t>Lidhja me fushat e tjera 37</t>
  </si>
  <si>
    <t>Organizimi 37</t>
  </si>
  <si>
    <t>Kompetenca 37</t>
  </si>
  <si>
    <t>Lenda1 Tema38</t>
  </si>
  <si>
    <t>Detyre shtepie 38</t>
  </si>
  <si>
    <t>faqe 38</t>
  </si>
  <si>
    <t>Situata 38</t>
  </si>
  <si>
    <t>Metodologjia 38</t>
  </si>
  <si>
    <t>Vleresimi 38</t>
  </si>
  <si>
    <t>Burimi 38</t>
  </si>
  <si>
    <t>Rezultati 38</t>
  </si>
  <si>
    <t>Fjale Kyce 38</t>
  </si>
  <si>
    <t>Lidhja me fushat e tjera 38</t>
  </si>
  <si>
    <t>Organizimi 38</t>
  </si>
  <si>
    <t>Kompetenca 38</t>
  </si>
  <si>
    <t>Lenda1 Tema39</t>
  </si>
  <si>
    <t>Detyre shtepie 39</t>
  </si>
  <si>
    <t>faqe 39</t>
  </si>
  <si>
    <t>Situata 39</t>
  </si>
  <si>
    <t>Metodologjia 39</t>
  </si>
  <si>
    <t>Vleresimi 39</t>
  </si>
  <si>
    <t>Burimi 39</t>
  </si>
  <si>
    <t>Rezultati 39</t>
  </si>
  <si>
    <t>Fjale Kyce 39</t>
  </si>
  <si>
    <t>Lidhja me fushat e tjera 39</t>
  </si>
  <si>
    <t>Organizimi 39</t>
  </si>
  <si>
    <t>Kompetenca 39</t>
  </si>
  <si>
    <t>Lenda1 Tema40</t>
  </si>
  <si>
    <t>Detyre shtepie 40</t>
  </si>
  <si>
    <t>faqe 40</t>
  </si>
  <si>
    <t>Situata 40</t>
  </si>
  <si>
    <t>Metodologjia 40</t>
  </si>
  <si>
    <t>Vleresimi 40</t>
  </si>
  <si>
    <t>Burimi 40</t>
  </si>
  <si>
    <t>Rezultati 40</t>
  </si>
  <si>
    <t>Fjale Kyce 40</t>
  </si>
  <si>
    <t>Lidhja me fushat e tjera 40</t>
  </si>
  <si>
    <t>Organizimi 40</t>
  </si>
  <si>
    <t>Kompetenca 40</t>
  </si>
  <si>
    <t>Lenda1 Tema41</t>
  </si>
  <si>
    <t>Detyre shtepie 41</t>
  </si>
  <si>
    <t>faqe 41</t>
  </si>
  <si>
    <t>Situata 41</t>
  </si>
  <si>
    <t>Metodologjia 41</t>
  </si>
  <si>
    <t>Vleresimi 41</t>
  </si>
  <si>
    <t>Burimi 41</t>
  </si>
  <si>
    <t>Rezultati 41</t>
  </si>
  <si>
    <t>Fjale Kyce 41</t>
  </si>
  <si>
    <t>Lidhja me fushat e tjera 41</t>
  </si>
  <si>
    <t>Organizimi 41</t>
  </si>
  <si>
    <t>Kompetenca 41</t>
  </si>
  <si>
    <t>Lenda1 Tema42</t>
  </si>
  <si>
    <t>Detyre shtepie 42</t>
  </si>
  <si>
    <t>faqe 42</t>
  </si>
  <si>
    <t>Situata 42</t>
  </si>
  <si>
    <t>Metodologjia 42</t>
  </si>
  <si>
    <t>Vleresimi 42</t>
  </si>
  <si>
    <t>Burimi 42</t>
  </si>
  <si>
    <t>Rezultati 42</t>
  </si>
  <si>
    <t>Fjale Kyce 42</t>
  </si>
  <si>
    <t>Lidhja me fushat e tjera 42</t>
  </si>
  <si>
    <t>Organizimi 42</t>
  </si>
  <si>
    <t>Kompetenca 42</t>
  </si>
  <si>
    <t>Lenda1 Tema43</t>
  </si>
  <si>
    <t>Detyre shtepie 43</t>
  </si>
  <si>
    <t>faqe 43</t>
  </si>
  <si>
    <t>Situata 43</t>
  </si>
  <si>
    <t>Metodologjia 43</t>
  </si>
  <si>
    <t>Vleresimi 43</t>
  </si>
  <si>
    <t>Burimi 43</t>
  </si>
  <si>
    <t>Rezultati 43</t>
  </si>
  <si>
    <t>Fjale Kyce 43</t>
  </si>
  <si>
    <t>Lidhja me fushat e tjera 43</t>
  </si>
  <si>
    <t>Organizimi 43</t>
  </si>
  <si>
    <t>Kompetenca 43</t>
  </si>
  <si>
    <t>Lenda1 Tema44</t>
  </si>
  <si>
    <t>Detyre shtepie 44</t>
  </si>
  <si>
    <t>faqe 44</t>
  </si>
  <si>
    <t>Situata 44</t>
  </si>
  <si>
    <t>Metodologjia 44</t>
  </si>
  <si>
    <t>Vleresimi 44</t>
  </si>
  <si>
    <t>Burimi 44</t>
  </si>
  <si>
    <t>Rezultati 44</t>
  </si>
  <si>
    <t>Fjale Kyce 44</t>
  </si>
  <si>
    <t>Lidhja me fushat e tjera 44</t>
  </si>
  <si>
    <t>Organizimi 44</t>
  </si>
  <si>
    <t>Kompetenca 44</t>
  </si>
  <si>
    <t>Lenda1 Tema45</t>
  </si>
  <si>
    <t>Detyre shtepie 45</t>
  </si>
  <si>
    <t>faqe 45</t>
  </si>
  <si>
    <t>Situata 45</t>
  </si>
  <si>
    <t>Metodologjia 45</t>
  </si>
  <si>
    <t>Vleresimi 45</t>
  </si>
  <si>
    <t>Burimi 45</t>
  </si>
  <si>
    <t>Rezultati 45</t>
  </si>
  <si>
    <t>Fjale Kyce 45</t>
  </si>
  <si>
    <t>Lidhja me fushat e tjera 45</t>
  </si>
  <si>
    <t>Organizimi 45</t>
  </si>
  <si>
    <t>Kompetenca 45</t>
  </si>
  <si>
    <t>Lenda1 Tema46</t>
  </si>
  <si>
    <t>Detyre shtepie 46</t>
  </si>
  <si>
    <t>faqe 46</t>
  </si>
  <si>
    <t>Situata 46</t>
  </si>
  <si>
    <t>Metodologjia 46</t>
  </si>
  <si>
    <t>Vleresimi 46</t>
  </si>
  <si>
    <t>Burimi 46</t>
  </si>
  <si>
    <t>Rezultati 46</t>
  </si>
  <si>
    <t>Fjale Kyce 46</t>
  </si>
  <si>
    <t>Lidhja me fushat e tjera 46</t>
  </si>
  <si>
    <t>Organizimi 46</t>
  </si>
  <si>
    <t>Kompetenca 46</t>
  </si>
  <si>
    <t>Lenda1 Tema47</t>
  </si>
  <si>
    <t>Detyre shtepie 47</t>
  </si>
  <si>
    <t>faqe 47</t>
  </si>
  <si>
    <t>Situata 47</t>
  </si>
  <si>
    <t>Metodologjia 47</t>
  </si>
  <si>
    <t>Vleresimi 47</t>
  </si>
  <si>
    <t>Burimi 47</t>
  </si>
  <si>
    <t>Rezultati 47</t>
  </si>
  <si>
    <t>Fjale Kyce 47</t>
  </si>
  <si>
    <t>Lidhja me fushat e tjera 47</t>
  </si>
  <si>
    <t>Organizimi 47</t>
  </si>
  <si>
    <t>Kompetenca 47</t>
  </si>
  <si>
    <t>Lenda1 Tema48</t>
  </si>
  <si>
    <t>Detyre shtepie 48</t>
  </si>
  <si>
    <t>faqe 48</t>
  </si>
  <si>
    <t>Situata 48</t>
  </si>
  <si>
    <t>Metodologjia 48</t>
  </si>
  <si>
    <t>Vleresimi 48</t>
  </si>
  <si>
    <t>Burimi 48</t>
  </si>
  <si>
    <t>Rezultati 48</t>
  </si>
  <si>
    <t>Fjale Kyce 48</t>
  </si>
  <si>
    <t>Lidhja me fushat e tjera 48</t>
  </si>
  <si>
    <t>Organizimi 48</t>
  </si>
  <si>
    <t>Kompetenca 48</t>
  </si>
  <si>
    <t>Lenda1 Tema49</t>
  </si>
  <si>
    <t>Detyre shtepie 49</t>
  </si>
  <si>
    <t>faqe 49</t>
  </si>
  <si>
    <t>Situata 49</t>
  </si>
  <si>
    <t>Metodologjia 49</t>
  </si>
  <si>
    <t>Vleresimi 49</t>
  </si>
  <si>
    <t>Burimi 49</t>
  </si>
  <si>
    <t>Rezultati 49</t>
  </si>
  <si>
    <t>Fjale Kyce 49</t>
  </si>
  <si>
    <t>Lidhja me fushat e tjera 49</t>
  </si>
  <si>
    <t>Organizimi 49</t>
  </si>
  <si>
    <t>Kompetenca 49</t>
  </si>
  <si>
    <t>Lenda1 Tema50</t>
  </si>
  <si>
    <t>Detyre shtepie 50</t>
  </si>
  <si>
    <t>faqe 50</t>
  </si>
  <si>
    <t>Situata 50</t>
  </si>
  <si>
    <t>Metodologjia 50</t>
  </si>
  <si>
    <t>Vleresimi 50</t>
  </si>
  <si>
    <t>Burimi 50</t>
  </si>
  <si>
    <t>Rezultati 50</t>
  </si>
  <si>
    <t>Fjale Kyce 50</t>
  </si>
  <si>
    <t>Lidhja me fushat e tjera 50</t>
  </si>
  <si>
    <t>Organizimi 50</t>
  </si>
  <si>
    <t>Kompetenca 50</t>
  </si>
  <si>
    <t>Lenda1 Tema51</t>
  </si>
  <si>
    <t>Detyre shtepie 51</t>
  </si>
  <si>
    <t>faqe 51</t>
  </si>
  <si>
    <t>Situata 51</t>
  </si>
  <si>
    <t>Metodologjia 51</t>
  </si>
  <si>
    <t>Vleresimi 51</t>
  </si>
  <si>
    <t>Burimi 51</t>
  </si>
  <si>
    <t>Rezultati 51</t>
  </si>
  <si>
    <t>Fjale Kyce 51</t>
  </si>
  <si>
    <t>Lidhja me fushat e tjera 51</t>
  </si>
  <si>
    <t>Organizimi 51</t>
  </si>
  <si>
    <t>Kompetenca 51</t>
  </si>
  <si>
    <t>Lenda1 Tema52</t>
  </si>
  <si>
    <t>Detyre shtepie 52</t>
  </si>
  <si>
    <t>faqe 52</t>
  </si>
  <si>
    <t>Situata 52</t>
  </si>
  <si>
    <t>Metodologjia 52</t>
  </si>
  <si>
    <t>Vleresimi 52</t>
  </si>
  <si>
    <t>Burimi 52</t>
  </si>
  <si>
    <t>Rezultati 52</t>
  </si>
  <si>
    <t>Fjale Kyce 52</t>
  </si>
  <si>
    <t>Lidhja me fushat e tjera 52</t>
  </si>
  <si>
    <t>Organizimi 52</t>
  </si>
  <si>
    <t>Kompetenca 52</t>
  </si>
  <si>
    <t>Lenda1 Tema53</t>
  </si>
  <si>
    <t>Detyre shtepie 53</t>
  </si>
  <si>
    <t>faqe 53</t>
  </si>
  <si>
    <t>Situata 53</t>
  </si>
  <si>
    <t>Metodologjia 53</t>
  </si>
  <si>
    <t>Vleresimi 53</t>
  </si>
  <si>
    <t>Burimi 53</t>
  </si>
  <si>
    <t>Rezultati 53</t>
  </si>
  <si>
    <t>Fjale Kyce 53</t>
  </si>
  <si>
    <t>Lidhja me fushat e tjera 53</t>
  </si>
  <si>
    <t>Organizimi 53</t>
  </si>
  <si>
    <t>Kompetenca 53</t>
  </si>
  <si>
    <t>Lenda1 Tema54</t>
  </si>
  <si>
    <t>Detyre shtepie 54</t>
  </si>
  <si>
    <t>faqe 54</t>
  </si>
  <si>
    <t>Situata 54</t>
  </si>
  <si>
    <t>Metodologjia 54</t>
  </si>
  <si>
    <t>Vleresimi 54</t>
  </si>
  <si>
    <t>Burimi 54</t>
  </si>
  <si>
    <t>Rezultati 54</t>
  </si>
  <si>
    <t>Fjale Kyce 54</t>
  </si>
  <si>
    <t>Lidhja me fushat e tjera 54</t>
  </si>
  <si>
    <t>Organizimi 54</t>
  </si>
  <si>
    <t>Kompetenca 54</t>
  </si>
  <si>
    <t>Lenda1 Tema55</t>
  </si>
  <si>
    <t>Detyre shtepie 55</t>
  </si>
  <si>
    <t>faqe 55</t>
  </si>
  <si>
    <t>Situata 55</t>
  </si>
  <si>
    <t>Metodologjia 55</t>
  </si>
  <si>
    <t>Vleresimi 55</t>
  </si>
  <si>
    <t>Burimi 55</t>
  </si>
  <si>
    <t>Rezultati 55</t>
  </si>
  <si>
    <t>Fjale Kyce 55</t>
  </si>
  <si>
    <t>Lidhja me fushat e tjera 55</t>
  </si>
  <si>
    <t>Organizimi 55</t>
  </si>
  <si>
    <t>Kompetenca 55</t>
  </si>
  <si>
    <t>Lenda1 Tema56</t>
  </si>
  <si>
    <t>Detyre shtepie 56</t>
  </si>
  <si>
    <t>faqe 56</t>
  </si>
  <si>
    <t>Situata 56</t>
  </si>
  <si>
    <t>Metodologjia 56</t>
  </si>
  <si>
    <t>Vleresimi 56</t>
  </si>
  <si>
    <t>Burimi 56</t>
  </si>
  <si>
    <t>Rezultati 56</t>
  </si>
  <si>
    <t>Fjale Kyce 56</t>
  </si>
  <si>
    <t>Lidhja me fushat e tjera 56</t>
  </si>
  <si>
    <t>Organizimi 56</t>
  </si>
  <si>
    <t>Kompetenca 56</t>
  </si>
  <si>
    <t>Lenda1 Tema57</t>
  </si>
  <si>
    <t>Detyre shtepie 57</t>
  </si>
  <si>
    <t>faqe 57</t>
  </si>
  <si>
    <t>Situata 57</t>
  </si>
  <si>
    <t>Metodologjia 57</t>
  </si>
  <si>
    <t>Vleresimi 57</t>
  </si>
  <si>
    <t>Burimi 57</t>
  </si>
  <si>
    <t>Rezultati 57</t>
  </si>
  <si>
    <t>Fjale Kyce 57</t>
  </si>
  <si>
    <t>Lidhja me fushat e tjera 57</t>
  </si>
  <si>
    <t>Organizimi 57</t>
  </si>
  <si>
    <t>Kompetenca 57</t>
  </si>
  <si>
    <t>Lenda1 Tema58</t>
  </si>
  <si>
    <t>Detyre shtepie 58</t>
  </si>
  <si>
    <t>faqe 58</t>
  </si>
  <si>
    <t>Situata 58</t>
  </si>
  <si>
    <t>Metodologjia 58</t>
  </si>
  <si>
    <t>Vleresimi 58</t>
  </si>
  <si>
    <t>Burimi 58</t>
  </si>
  <si>
    <t>Rezultati 58</t>
  </si>
  <si>
    <t>Fjale Kyce 58</t>
  </si>
  <si>
    <t>Lidhja me fushat e tjera 58</t>
  </si>
  <si>
    <t>Organizimi 58</t>
  </si>
  <si>
    <t>Kompetenca 58</t>
  </si>
  <si>
    <t>Lenda1 Tema59</t>
  </si>
  <si>
    <t>Detyre shtepie 59</t>
  </si>
  <si>
    <t>faqe 59</t>
  </si>
  <si>
    <t>Situata 59</t>
  </si>
  <si>
    <t>Metodologjia 59</t>
  </si>
  <si>
    <t>Vleresimi 59</t>
  </si>
  <si>
    <t>Burimi 59</t>
  </si>
  <si>
    <t>Rezultati 59</t>
  </si>
  <si>
    <t>Fjale Kyce 59</t>
  </si>
  <si>
    <t>Lidhja me fushat e tjera 59</t>
  </si>
  <si>
    <t>Organizimi 59</t>
  </si>
  <si>
    <t>Kompetenca 59</t>
  </si>
  <si>
    <t>Lenda1 Tema60</t>
  </si>
  <si>
    <t>Detyre shtepie 60</t>
  </si>
  <si>
    <t>faqe 60</t>
  </si>
  <si>
    <t>Situata 60</t>
  </si>
  <si>
    <t>Metodologjia 60</t>
  </si>
  <si>
    <t>Vleresimi 60</t>
  </si>
  <si>
    <t>Burimi 60</t>
  </si>
  <si>
    <t>Rezultati 60</t>
  </si>
  <si>
    <t>Fjale Kyce 60</t>
  </si>
  <si>
    <t>Lidhja me fushat e tjera 60</t>
  </si>
  <si>
    <t>Organizimi 60</t>
  </si>
  <si>
    <t>Kompetenca 60</t>
  </si>
  <si>
    <t>Lenda1 Tema61</t>
  </si>
  <si>
    <t>Detyre shtepie 61</t>
  </si>
  <si>
    <t>faqe 61</t>
  </si>
  <si>
    <t>Situata 61</t>
  </si>
  <si>
    <t>Metodologjia 61</t>
  </si>
  <si>
    <t>Vleresimi 61</t>
  </si>
  <si>
    <t>Burimi 61</t>
  </si>
  <si>
    <t>Rezultati 61</t>
  </si>
  <si>
    <t>Fjale Kyce 61</t>
  </si>
  <si>
    <t>Lidhja me fushat e tjera 61</t>
  </si>
  <si>
    <t>Organizimi 61</t>
  </si>
  <si>
    <t>Kompetenca 61</t>
  </si>
  <si>
    <t>Lenda1 Tema62</t>
  </si>
  <si>
    <t>Detyre shtepie 62</t>
  </si>
  <si>
    <t>faqe 62</t>
  </si>
  <si>
    <t>Situata 62</t>
  </si>
  <si>
    <t>Metodologjia 62</t>
  </si>
  <si>
    <t>Vleresimi 62</t>
  </si>
  <si>
    <t>Burimi 62</t>
  </si>
  <si>
    <t>Rezultati 62</t>
  </si>
  <si>
    <t>Fjale Kyce 62</t>
  </si>
  <si>
    <t>Lidhja me fushat e tjera 62</t>
  </si>
  <si>
    <t>Organizimi 62</t>
  </si>
  <si>
    <t>Kompetenca 62</t>
  </si>
  <si>
    <t>Lenda1 Tema63</t>
  </si>
  <si>
    <t>Detyre shtepie 63</t>
  </si>
  <si>
    <t>faqe 63</t>
  </si>
  <si>
    <t>Situata 63</t>
  </si>
  <si>
    <t>Metodologjia 63</t>
  </si>
  <si>
    <t>Vleresimi 63</t>
  </si>
  <si>
    <t>Burimi 63</t>
  </si>
  <si>
    <t>Rezultati 63</t>
  </si>
  <si>
    <t>Fjale Kyce 63</t>
  </si>
  <si>
    <t>Lidhja me fushat e tjera 63</t>
  </si>
  <si>
    <t>Testim njohurish</t>
  </si>
  <si>
    <t>Organizimi 63</t>
  </si>
  <si>
    <t>Kompetenca 63</t>
  </si>
  <si>
    <t>Lenda1 Tema64</t>
  </si>
  <si>
    <t>Detyre shtepie 64</t>
  </si>
  <si>
    <t>faqe 64</t>
  </si>
  <si>
    <t>Situata 64</t>
  </si>
  <si>
    <t>Metodologjia 64</t>
  </si>
  <si>
    <t>Vleresimi 64</t>
  </si>
  <si>
    <t>Burimi 64</t>
  </si>
  <si>
    <t>Rezultati 64</t>
  </si>
  <si>
    <t>Fjale Kyce 64</t>
  </si>
  <si>
    <t>Lidhja me fushat e tjera 64</t>
  </si>
  <si>
    <t>Organizimi 64</t>
  </si>
  <si>
    <t>Kompetenca 64</t>
  </si>
  <si>
    <t>Lenda1 Tema65</t>
  </si>
  <si>
    <t>Detyre shtepie 65</t>
  </si>
  <si>
    <t>faqe 65</t>
  </si>
  <si>
    <t>Situata 65</t>
  </si>
  <si>
    <t>Metodologjia 65</t>
  </si>
  <si>
    <t>Vleresimi 65</t>
  </si>
  <si>
    <t>Burimi 65</t>
  </si>
  <si>
    <t>Rezultati 65</t>
  </si>
  <si>
    <t>Fjale Kyce 65</t>
  </si>
  <si>
    <t>Lidhja me fushat e tjera 65</t>
  </si>
  <si>
    <t>Organizimi 65</t>
  </si>
  <si>
    <t>Kompetenca 65</t>
  </si>
  <si>
    <t>Lenda1 Tema66</t>
  </si>
  <si>
    <t>Detyre shtepie 66</t>
  </si>
  <si>
    <t>faqe 66</t>
  </si>
  <si>
    <t>Situata 66</t>
  </si>
  <si>
    <t>Metodologjia 66</t>
  </si>
  <si>
    <t>Vleresimi 66</t>
  </si>
  <si>
    <t>Burimi 66</t>
  </si>
  <si>
    <t>Rezultati 66</t>
  </si>
  <si>
    <t>Fjale Kyce 66</t>
  </si>
  <si>
    <t>Lidhja me fushat e tjera 66</t>
  </si>
  <si>
    <t>Organizimi 66</t>
  </si>
  <si>
    <t>Kompetenca 66</t>
  </si>
  <si>
    <t>Lenda1 Tema67</t>
  </si>
  <si>
    <t>Detyre shtepie 67</t>
  </si>
  <si>
    <t>faqe 67</t>
  </si>
  <si>
    <t>Situata 67</t>
  </si>
  <si>
    <t>Metodologjia 67</t>
  </si>
  <si>
    <t>Vleresimi 67</t>
  </si>
  <si>
    <t>Burimi 67</t>
  </si>
  <si>
    <t>Rezultati 67</t>
  </si>
  <si>
    <t>Fjale Kyce 67</t>
  </si>
  <si>
    <t>Lidhja me fushat e tjera 67</t>
  </si>
  <si>
    <t>Organizimi 67</t>
  </si>
  <si>
    <t>Kompetenca 67</t>
  </si>
  <si>
    <t>Lenda1 Tema68</t>
  </si>
  <si>
    <t>Detyre shtepie 68</t>
  </si>
  <si>
    <t>faqe 68</t>
  </si>
  <si>
    <t>Situata 68</t>
  </si>
  <si>
    <t>Metodologjia 68</t>
  </si>
  <si>
    <t>Vleresimi 68</t>
  </si>
  <si>
    <t>Burimi 68</t>
  </si>
  <si>
    <t>Rezultati 68</t>
  </si>
  <si>
    <t>Fjale Kyce 68</t>
  </si>
  <si>
    <t>Lidhja me fushat e tjera 68</t>
  </si>
  <si>
    <t>Organizimi 68</t>
  </si>
  <si>
    <t>Kompetenca 68</t>
  </si>
  <si>
    <t>Lenda1 Tema69</t>
  </si>
  <si>
    <t>Detyre shtepie 69</t>
  </si>
  <si>
    <t>faqe 69</t>
  </si>
  <si>
    <t>Situata 69</t>
  </si>
  <si>
    <t>Metodologjia 69</t>
  </si>
  <si>
    <t>Vleresimi 69</t>
  </si>
  <si>
    <t>Burimi 69</t>
  </si>
  <si>
    <t>Rezultati 69</t>
  </si>
  <si>
    <t>Fjale Kyce 69</t>
  </si>
  <si>
    <t>Lidhja me fushat e tjera 69</t>
  </si>
  <si>
    <t>Organizimi 69</t>
  </si>
  <si>
    <t>Kompetenca 69</t>
  </si>
  <si>
    <t>Lenda1 Tema70</t>
  </si>
  <si>
    <t>Detyre shtepie 70</t>
  </si>
  <si>
    <t>faqe 70</t>
  </si>
  <si>
    <t>Situata 70</t>
  </si>
  <si>
    <t>Metodologjia 70</t>
  </si>
  <si>
    <t>Vleresimi 70</t>
  </si>
  <si>
    <t>Burimi 70</t>
  </si>
  <si>
    <t>Rezultati 70</t>
  </si>
  <si>
    <t>Fjale Kyce 70</t>
  </si>
  <si>
    <t>Lidhja me fushat e tjera 70</t>
  </si>
  <si>
    <t>Perseritje – Test Njohurish</t>
  </si>
  <si>
    <t>Organizimi 70</t>
  </si>
  <si>
    <t>Kompetenca 70</t>
  </si>
  <si>
    <t>Lenda1 Tema71</t>
  </si>
  <si>
    <t>Detyre shtepie 71</t>
  </si>
  <si>
    <t>faqe 71</t>
  </si>
  <si>
    <t>Situata 71</t>
  </si>
  <si>
    <t>Metodologjia 71</t>
  </si>
  <si>
    <t>Vleresimi 71</t>
  </si>
  <si>
    <t>Burimi 71</t>
  </si>
  <si>
    <t>Rezultati 71</t>
  </si>
  <si>
    <t>Fjale Kyce 71</t>
  </si>
  <si>
    <t>Lidhja me fushat e tjera 71</t>
  </si>
  <si>
    <t>Organizimi 71</t>
  </si>
  <si>
    <t>Kompetenca 71</t>
  </si>
  <si>
    <t>Lenda1 Tema72</t>
  </si>
  <si>
    <t>Detyre shtepie 72</t>
  </si>
  <si>
    <t>faqe 72</t>
  </si>
  <si>
    <t>Situata 72</t>
  </si>
  <si>
    <t>Metodologjia 72</t>
  </si>
  <si>
    <t>Vleresimi 72</t>
  </si>
  <si>
    <t>Burimi 72</t>
  </si>
  <si>
    <t>Rezultati 72</t>
  </si>
  <si>
    <t>Fjale Kyce 72</t>
  </si>
  <si>
    <t>Lidhja me fushat e tjera 72</t>
  </si>
  <si>
    <t>Organizimi 72</t>
  </si>
  <si>
    <t>Kompetenca 72</t>
  </si>
  <si>
    <t>Lenda1 Tema73</t>
  </si>
  <si>
    <t>Detyre shtepie 73</t>
  </si>
  <si>
    <t>faqe 73</t>
  </si>
  <si>
    <t>Situata 73</t>
  </si>
  <si>
    <t>Metodologjia 73</t>
  </si>
  <si>
    <t>Vleresimi 73</t>
  </si>
  <si>
    <t>Burimi 73</t>
  </si>
  <si>
    <t>Rezultati 73</t>
  </si>
  <si>
    <t>Fjale Kyce 73</t>
  </si>
  <si>
    <t>Lidhja me fushat e tjera 73</t>
  </si>
  <si>
    <t>Organizimi 73</t>
  </si>
  <si>
    <t>Kompetenca 73</t>
  </si>
  <si>
    <t>Lenda1 Tema74</t>
  </si>
  <si>
    <t>Detyre shtepie 74</t>
  </si>
  <si>
    <t>faqe 74</t>
  </si>
  <si>
    <t>Situata 74</t>
  </si>
  <si>
    <t>Metodologjia 74</t>
  </si>
  <si>
    <t>Vleresimi 74</t>
  </si>
  <si>
    <t>Burimi 74</t>
  </si>
  <si>
    <t>Rezultati 74</t>
  </si>
  <si>
    <t>Fjale Kyce 74</t>
  </si>
  <si>
    <t>Lidhja me fushat e tjera 74</t>
  </si>
  <si>
    <t>Organizimi 74</t>
  </si>
  <si>
    <t>Kompetenca 74</t>
  </si>
  <si>
    <t>Lenda1 Tema75</t>
  </si>
  <si>
    <t>Detyre shtepie 75</t>
  </si>
  <si>
    <t>faqe 75</t>
  </si>
  <si>
    <t>Situata 75</t>
  </si>
  <si>
    <t>Metodologjia 75</t>
  </si>
  <si>
    <t>Vleresimi 75</t>
  </si>
  <si>
    <t>Burimi 75</t>
  </si>
  <si>
    <t>Rezultati 75</t>
  </si>
  <si>
    <t>Fjale Kyce 75</t>
  </si>
  <si>
    <t>Lidhja me fushat e tjera 75</t>
  </si>
  <si>
    <t>Organizimi 75</t>
  </si>
  <si>
    <t>Kompetenca 75</t>
  </si>
  <si>
    <t>Lenda1 Tema76</t>
  </si>
  <si>
    <t>Detyre shtepie 76</t>
  </si>
  <si>
    <t>faqe 76</t>
  </si>
  <si>
    <t>Situata 76</t>
  </si>
  <si>
    <t>Metodologjia 76</t>
  </si>
  <si>
    <t>Vleresimi 76</t>
  </si>
  <si>
    <t>Burimi 76</t>
  </si>
  <si>
    <t>Rezultati 76</t>
  </si>
  <si>
    <t>Fjale Kyce 76</t>
  </si>
  <si>
    <t>Lidhja me fushat e tjera 76</t>
  </si>
  <si>
    <t>Organizimi 76</t>
  </si>
  <si>
    <t>Kompetenca 76</t>
  </si>
  <si>
    <t>Lenda1 Tema77</t>
  </si>
  <si>
    <t>Detyre shtepie 77</t>
  </si>
  <si>
    <t>faqe 77</t>
  </si>
  <si>
    <t>Situata 77</t>
  </si>
  <si>
    <t>Metodologjia 77</t>
  </si>
  <si>
    <t>Vleresimi 77</t>
  </si>
  <si>
    <t>Burimi 77</t>
  </si>
  <si>
    <t>Rezultati 77</t>
  </si>
  <si>
    <t>Fjale Kyce 77</t>
  </si>
  <si>
    <t>Lidhja me fushat e tjera 77</t>
  </si>
  <si>
    <t>Organizimi 77</t>
  </si>
  <si>
    <t>Kompetenca 77</t>
  </si>
  <si>
    <t>Lenda1 Tema78</t>
  </si>
  <si>
    <t>Detyre shtepie 78</t>
  </si>
  <si>
    <t>faqe 78</t>
  </si>
  <si>
    <t>Situata 78</t>
  </si>
  <si>
    <t>Metodologjia 78</t>
  </si>
  <si>
    <t>Vleresimi 78</t>
  </si>
  <si>
    <t>Burimi 78</t>
  </si>
  <si>
    <t>Rezultati 78</t>
  </si>
  <si>
    <t>Fjale Kyce 78</t>
  </si>
  <si>
    <t>Lidhja me fushat e tjera 78</t>
  </si>
  <si>
    <t>Organizimi 78</t>
  </si>
  <si>
    <t>Kompetenca 78</t>
  </si>
  <si>
    <t>Lenda1 Tema79</t>
  </si>
  <si>
    <t>Detyre shtepie 79</t>
  </si>
  <si>
    <t>faqe 79</t>
  </si>
  <si>
    <t>Situata 79</t>
  </si>
  <si>
    <t>Metodologjia 79</t>
  </si>
  <si>
    <t>Vleresimi 79</t>
  </si>
  <si>
    <t>Burimi 79</t>
  </si>
  <si>
    <t>Rezultati 79</t>
  </si>
  <si>
    <t>Fjale Kyce 79</t>
  </si>
  <si>
    <t>Lidhja me fushat e tjera 79</t>
  </si>
  <si>
    <t>Organizimi 79</t>
  </si>
  <si>
    <t>Kompetenca 79</t>
  </si>
  <si>
    <t>Lenda1 Tema80</t>
  </si>
  <si>
    <t>Detyre shtepie 80</t>
  </si>
  <si>
    <t>faqe 80</t>
  </si>
  <si>
    <t>Situata 80</t>
  </si>
  <si>
    <t>Metodologjia 80</t>
  </si>
  <si>
    <t>Vleresimi 80</t>
  </si>
  <si>
    <t>Burimi 80</t>
  </si>
  <si>
    <t>Rezultati 80</t>
  </si>
  <si>
    <t>Fjale Kyce 80</t>
  </si>
  <si>
    <t>Lidhja me fushat e tjera 80</t>
  </si>
  <si>
    <t>Organizimi 80</t>
  </si>
  <si>
    <t>Kompetenca 80</t>
  </si>
  <si>
    <t>Lenda1 Tema81</t>
  </si>
  <si>
    <t>Detyre shtepie 81</t>
  </si>
  <si>
    <t>faqe 81</t>
  </si>
  <si>
    <t>Situata 81</t>
  </si>
  <si>
    <t>Metodologjia 81</t>
  </si>
  <si>
    <t>Vleresimi 81</t>
  </si>
  <si>
    <t>Burimi 81</t>
  </si>
  <si>
    <t>Rezultati 81</t>
  </si>
  <si>
    <t>Fjale Kyce 81</t>
  </si>
  <si>
    <t>Lidhja me fushat e tjera 81</t>
  </si>
  <si>
    <t>Organizimi 81</t>
  </si>
  <si>
    <t>Kompetenca 81</t>
  </si>
  <si>
    <t>Lenda1 Tema82</t>
  </si>
  <si>
    <t>Detyre shtepie 82</t>
  </si>
  <si>
    <t>faqe 82</t>
  </si>
  <si>
    <t>Situata 82</t>
  </si>
  <si>
    <t>Metodologjia 82</t>
  </si>
  <si>
    <t>Vleresimi 82</t>
  </si>
  <si>
    <t>Burimi 82</t>
  </si>
  <si>
    <t>Rezultati 82</t>
  </si>
  <si>
    <t>Fjale Kyce 82</t>
  </si>
  <si>
    <t>Lidhja me fushat e tjera 82</t>
  </si>
  <si>
    <t>Organizimi 82</t>
  </si>
  <si>
    <t>Kompetenca 82</t>
  </si>
  <si>
    <t>Lenda1 Tema83</t>
  </si>
  <si>
    <t>Detyre shtepie 83</t>
  </si>
  <si>
    <t>faqe 83</t>
  </si>
  <si>
    <t>Situata 83</t>
  </si>
  <si>
    <t>Metodologjia 83</t>
  </si>
  <si>
    <t>Vleresimi 83</t>
  </si>
  <si>
    <t>Burimi 83</t>
  </si>
  <si>
    <t>Rezultati 83</t>
  </si>
  <si>
    <t>Fjale Kyce 83</t>
  </si>
  <si>
    <t>Lidhja me fushat e tjera 83</t>
  </si>
  <si>
    <t>Organizimi 83</t>
  </si>
  <si>
    <t>Kompetenca 83</t>
  </si>
  <si>
    <t>Lenda1 Tema84</t>
  </si>
  <si>
    <t>Detyre shtepie 84</t>
  </si>
  <si>
    <t>faqe 84</t>
  </si>
  <si>
    <t>Situata 84</t>
  </si>
  <si>
    <t>Metodologjia 84</t>
  </si>
  <si>
    <t>Vleresimi 84</t>
  </si>
  <si>
    <t>Burimi 84</t>
  </si>
  <si>
    <t>Rezultati 84</t>
  </si>
  <si>
    <t>Fjale Kyce 84</t>
  </si>
  <si>
    <t>Lidhja me fushat e tjera 84</t>
  </si>
  <si>
    <t>Organizimi 84</t>
  </si>
  <si>
    <t>Kompetenca 84</t>
  </si>
  <si>
    <t>Lenda1 Tema85</t>
  </si>
  <si>
    <t>Detyre shtepie 85</t>
  </si>
  <si>
    <t>faqe 85</t>
  </si>
  <si>
    <t>Situata 85</t>
  </si>
  <si>
    <t>Metodologjia 85</t>
  </si>
  <si>
    <t>Vleresimi 85</t>
  </si>
  <si>
    <t>Burimi 85</t>
  </si>
  <si>
    <t>Rezultati 85</t>
  </si>
  <si>
    <t>Fjale Kyce 85</t>
  </si>
  <si>
    <t>Lidhja me fushat e tjera 85</t>
  </si>
  <si>
    <t>Organizimi 85</t>
  </si>
  <si>
    <t>Kompetenca 85</t>
  </si>
  <si>
    <t>Lenda1 Tema86</t>
  </si>
  <si>
    <t>Detyre shtepie 86</t>
  </si>
  <si>
    <t>faqe 86</t>
  </si>
  <si>
    <t>Situata 86</t>
  </si>
  <si>
    <t>Metodologjia 86</t>
  </si>
  <si>
    <t>Vleresimi 86</t>
  </si>
  <si>
    <t>Burimi 86</t>
  </si>
  <si>
    <t>Rezultati 86</t>
  </si>
  <si>
    <t>Fjale Kyce 86</t>
  </si>
  <si>
    <t>Lidhja me fushat e tjera 86</t>
  </si>
  <si>
    <t>Organizimi 86</t>
  </si>
  <si>
    <t>Kompetenca 86</t>
  </si>
  <si>
    <t>Lenda1 Tema87</t>
  </si>
  <si>
    <t>Detyre shtepie 87</t>
  </si>
  <si>
    <t>faqe 87</t>
  </si>
  <si>
    <t>Situata 87</t>
  </si>
  <si>
    <t>Metodologjia 87</t>
  </si>
  <si>
    <t>Vleresimi 87</t>
  </si>
  <si>
    <t>Burimi 87</t>
  </si>
  <si>
    <t>Rezultati 87</t>
  </si>
  <si>
    <t>Fjale Kyce 87</t>
  </si>
  <si>
    <t>Lidhja me fushat e tjera 87</t>
  </si>
  <si>
    <t>Organizimi 87</t>
  </si>
  <si>
    <t>Kompetenca 87</t>
  </si>
  <si>
    <t>Lenda1 Tema88</t>
  </si>
  <si>
    <t>Detyre shtepie 88</t>
  </si>
  <si>
    <t>faqe 88</t>
  </si>
  <si>
    <t>Situata 88</t>
  </si>
  <si>
    <t>Metodologjia 88</t>
  </si>
  <si>
    <t>Vleresimi 88</t>
  </si>
  <si>
    <t>Burimi 88</t>
  </si>
  <si>
    <t>Rezultati 88</t>
  </si>
  <si>
    <t>Fjale Kyce 88</t>
  </si>
  <si>
    <t>Lidhja me fushat e tjera 88</t>
  </si>
  <si>
    <t>Organizimi 88</t>
  </si>
  <si>
    <t>Kompetenca 88</t>
  </si>
  <si>
    <t>Lenda1 Tema89</t>
  </si>
  <si>
    <t>Detyre shtepie 89</t>
  </si>
  <si>
    <t>faqe 89</t>
  </si>
  <si>
    <t>Situata 89</t>
  </si>
  <si>
    <t>Metodologjia 89</t>
  </si>
  <si>
    <t>Vleresimi 89</t>
  </si>
  <si>
    <t>Burimi 89</t>
  </si>
  <si>
    <t>Rezultati 89</t>
  </si>
  <si>
    <t>Fjale Kyce 89</t>
  </si>
  <si>
    <t>Lidhja me fushat e tjera 89</t>
  </si>
  <si>
    <t>Organizimi 89</t>
  </si>
  <si>
    <t>Kompetenca 89</t>
  </si>
  <si>
    <t>Lenda1 Tema90</t>
  </si>
  <si>
    <t>Detyre shtepie 90</t>
  </si>
  <si>
    <t>faqe 90</t>
  </si>
  <si>
    <t>Situata 90</t>
  </si>
  <si>
    <t>Metodologjia 90</t>
  </si>
  <si>
    <t>Vleresimi 90</t>
  </si>
  <si>
    <t>Burimi 90</t>
  </si>
  <si>
    <t>Rezultati 90</t>
  </si>
  <si>
    <t>Fjale Kyce 90</t>
  </si>
  <si>
    <t>Lidhja me fushat e tjera 90</t>
  </si>
  <si>
    <t>Organizimi 90</t>
  </si>
  <si>
    <t>Kompetenca 90</t>
  </si>
  <si>
    <t>Lenda1 Tema91</t>
  </si>
  <si>
    <t>Detyre shtepie 91</t>
  </si>
  <si>
    <t>faqe 91</t>
  </si>
  <si>
    <t>Situata 91</t>
  </si>
  <si>
    <t>Metodologjia 91</t>
  </si>
  <si>
    <t>Vleresimi 91</t>
  </si>
  <si>
    <t>Burimi 91</t>
  </si>
  <si>
    <t>Rezultati 91</t>
  </si>
  <si>
    <t>Fjale Kyce 91</t>
  </si>
  <si>
    <t>Lidhja me fushat e tjera 91</t>
  </si>
  <si>
    <t>Organizimi 91</t>
  </si>
  <si>
    <t>Kompetenca 91</t>
  </si>
  <si>
    <t>Lenda1 Tema92</t>
  </si>
  <si>
    <t>Detyre shtepie 92</t>
  </si>
  <si>
    <t>faqe 92</t>
  </si>
  <si>
    <t>Situata 92</t>
  </si>
  <si>
    <t>Metodologjia 92</t>
  </si>
  <si>
    <t>Vleresimi 92</t>
  </si>
  <si>
    <t>Burimi 92</t>
  </si>
  <si>
    <t>Rezultati 92</t>
  </si>
  <si>
    <t>Fjale Kyce 92</t>
  </si>
  <si>
    <t>Lidhja me fushat e tjera 92</t>
  </si>
  <si>
    <t>Organizimi 92</t>
  </si>
  <si>
    <t>Kompetenca 92</t>
  </si>
  <si>
    <t>Lenda1 Tema93</t>
  </si>
  <si>
    <t>Detyre shtepie 93</t>
  </si>
  <si>
    <t>faqe 93</t>
  </si>
  <si>
    <t>Situata 93</t>
  </si>
  <si>
    <t>Metodologjia 93</t>
  </si>
  <si>
    <t>Vleresimi 93</t>
  </si>
  <si>
    <t>Burimi 93</t>
  </si>
  <si>
    <t>Rezultati 93</t>
  </si>
  <si>
    <t>Fjale Kyce 93</t>
  </si>
  <si>
    <t>Lidhja me fushat e tjera 93</t>
  </si>
  <si>
    <t>Organizimi 93</t>
  </si>
  <si>
    <t>Kompetenca 93</t>
  </si>
  <si>
    <t>Lenda1 Tema94</t>
  </si>
  <si>
    <t>Detyre shtepie 94</t>
  </si>
  <si>
    <t>faqe 94</t>
  </si>
  <si>
    <t>Situata 94</t>
  </si>
  <si>
    <t>Metodologjia 94</t>
  </si>
  <si>
    <t>Vleresimi 94</t>
  </si>
  <si>
    <t>Burimi 94</t>
  </si>
  <si>
    <t>Rezultati 94</t>
  </si>
  <si>
    <t>Fjale Kyce 94</t>
  </si>
  <si>
    <t>Lidhja me fushat e tjera 94</t>
  </si>
  <si>
    <t>Organizimi 94</t>
  </si>
  <si>
    <t>Kompetenca 94</t>
  </si>
  <si>
    <t>Lenda1 Tema95</t>
  </si>
  <si>
    <t>Detyre shtepie 95</t>
  </si>
  <si>
    <t>faqe 95</t>
  </si>
  <si>
    <t>Situata 95</t>
  </si>
  <si>
    <t>Metodologjia 95</t>
  </si>
  <si>
    <t>Vleresimi 95</t>
  </si>
  <si>
    <t>Burimi 95</t>
  </si>
  <si>
    <t>Rezultati 95</t>
  </si>
  <si>
    <t>Fjale Kyce 95</t>
  </si>
  <si>
    <t>Lidhja me fushat e tjera 95</t>
  </si>
  <si>
    <t>Organizimi 95</t>
  </si>
  <si>
    <t>Kompetenca 95</t>
  </si>
  <si>
    <t>Lenda1 Tema96</t>
  </si>
  <si>
    <t>Detyre shtepie 96</t>
  </si>
  <si>
    <t>faqe 96</t>
  </si>
  <si>
    <t>Situata 96</t>
  </si>
  <si>
    <t>Metodologjia 96</t>
  </si>
  <si>
    <t>Vleresimi 96</t>
  </si>
  <si>
    <t>Burimi 96</t>
  </si>
  <si>
    <t>Rezultati 96</t>
  </si>
  <si>
    <t>Fjale Kyce 96</t>
  </si>
  <si>
    <t>Lidhja me fushat e tjera 96</t>
  </si>
  <si>
    <t>Organizimi 96</t>
  </si>
  <si>
    <t>Kompetenca 96</t>
  </si>
  <si>
    <t>Lenda1 Tema97</t>
  </si>
  <si>
    <t>Detyre shtepie 97</t>
  </si>
  <si>
    <t>faqe 97</t>
  </si>
  <si>
    <t>Situata 97</t>
  </si>
  <si>
    <t>Metodologjia 97</t>
  </si>
  <si>
    <t>Vleresimi 97</t>
  </si>
  <si>
    <t>Burimi 97</t>
  </si>
  <si>
    <t>Rezultati 97</t>
  </si>
  <si>
    <t>Fjale Kyce 97</t>
  </si>
  <si>
    <t>Lidhja me fushat e tjera 97</t>
  </si>
  <si>
    <t>Organizimi 97</t>
  </si>
  <si>
    <t>Kompetenca 97</t>
  </si>
  <si>
    <t>Lenda1 Tema98</t>
  </si>
  <si>
    <t>Detyre shtepie 98</t>
  </si>
  <si>
    <t>faqe 98</t>
  </si>
  <si>
    <t>Situata 98</t>
  </si>
  <si>
    <t>Metodologjia 98</t>
  </si>
  <si>
    <t>Vleresimi 98</t>
  </si>
  <si>
    <t>Burimi 98</t>
  </si>
  <si>
    <t>Rezultati 98</t>
  </si>
  <si>
    <t>Fjale Kyce 98</t>
  </si>
  <si>
    <t>Lidhja me fushat e tjera 98</t>
  </si>
  <si>
    <t>Organizimi 98</t>
  </si>
  <si>
    <t>Kompetenca 98</t>
  </si>
  <si>
    <t>Lenda1 Tema99</t>
  </si>
  <si>
    <t>Detyre shtepie 99</t>
  </si>
  <si>
    <t>faqe 99</t>
  </si>
  <si>
    <t>Situata 99</t>
  </si>
  <si>
    <t>Metodologjia 99</t>
  </si>
  <si>
    <t>Vleresimi 99</t>
  </si>
  <si>
    <t>Burimi 99</t>
  </si>
  <si>
    <t>Rezultati 99</t>
  </si>
  <si>
    <t>Fjale Kyce 99</t>
  </si>
  <si>
    <t>Lidhja me fushat e tjera 99</t>
  </si>
  <si>
    <t>Organizimi 99</t>
  </si>
  <si>
    <t>Kompetenca 99</t>
  </si>
  <si>
    <t>Lenda1 Tema100</t>
  </si>
  <si>
    <t>Detyre shtepie 100</t>
  </si>
  <si>
    <t>faqe 100</t>
  </si>
  <si>
    <t>Situata 100</t>
  </si>
  <si>
    <t>Metodologjia 100</t>
  </si>
  <si>
    <t>Vleresimi 100</t>
  </si>
  <si>
    <t>Burimi 100</t>
  </si>
  <si>
    <t>Rezultati 100</t>
  </si>
  <si>
    <t>Fjale Kyce 100</t>
  </si>
  <si>
    <t>Lidhja me fushat e tjera 100</t>
  </si>
  <si>
    <t>Organizimi 100</t>
  </si>
  <si>
    <t>Kompetenca 100</t>
  </si>
  <si>
    <t>Lenda1 Tema101</t>
  </si>
  <si>
    <t>Detyre shtepie 101</t>
  </si>
  <si>
    <t>faqe 101</t>
  </si>
  <si>
    <t>Situata 101</t>
  </si>
  <si>
    <t>Metodologjia 101</t>
  </si>
  <si>
    <t>Vleresimi 101</t>
  </si>
  <si>
    <t>Burimi 101</t>
  </si>
  <si>
    <t>Rezultati 101</t>
  </si>
  <si>
    <t>Fjale Kyce 101</t>
  </si>
  <si>
    <t>Lidhja me fushat e tjera 101</t>
  </si>
  <si>
    <t>Organizimi 101</t>
  </si>
  <si>
    <t>Kompetenca 101</t>
  </si>
  <si>
    <t>Lenda1 Tema102</t>
  </si>
  <si>
    <t>Detyre shtepie 102</t>
  </si>
  <si>
    <t>faqe 102</t>
  </si>
  <si>
    <t>Situata 102</t>
  </si>
  <si>
    <t>Metodologjia 102</t>
  </si>
  <si>
    <t>Vleresimi 102</t>
  </si>
  <si>
    <t>Burimi 102</t>
  </si>
  <si>
    <t>Rezultati 102</t>
  </si>
  <si>
    <t>Fjale Kyce 102</t>
  </si>
  <si>
    <t>Lidhja me fushat e tjera 102</t>
  </si>
  <si>
    <t>Organizimi 102</t>
  </si>
  <si>
    <t>Kompetenca 102</t>
  </si>
  <si>
    <t>Lenda1 Tema103</t>
  </si>
  <si>
    <t>Detyre shtepie 103</t>
  </si>
  <si>
    <t>faqe 103</t>
  </si>
  <si>
    <t>Situata 103</t>
  </si>
  <si>
    <t>Metodologjia 103</t>
  </si>
  <si>
    <t>Vleresimi 103</t>
  </si>
  <si>
    <t>Burimi 103</t>
  </si>
  <si>
    <t>Rezultati 103</t>
  </si>
  <si>
    <t>Fjale Kyce 103</t>
  </si>
  <si>
    <t>Lidhja me fushat e tjera 103</t>
  </si>
  <si>
    <t>Organizimi 103</t>
  </si>
  <si>
    <t>Kompetenca 103</t>
  </si>
  <si>
    <t>Lenda1 Tema104</t>
  </si>
  <si>
    <t>Detyre shtepie 104</t>
  </si>
  <si>
    <t>faqe 104</t>
  </si>
  <si>
    <t>Situata 104</t>
  </si>
  <si>
    <t>Metodologjia 104</t>
  </si>
  <si>
    <t>Vleresimi 104</t>
  </si>
  <si>
    <t>Burimi 104</t>
  </si>
  <si>
    <t>Rezultati 104</t>
  </si>
  <si>
    <t>Fjale Kyce 104</t>
  </si>
  <si>
    <t>Lidhja me fushat e tjera 104</t>
  </si>
  <si>
    <t>Organizimi 104</t>
  </si>
  <si>
    <t>Kompetenca 104</t>
  </si>
  <si>
    <t>Lenda1 Tema105</t>
  </si>
  <si>
    <t>Detyre shtepie 105</t>
  </si>
  <si>
    <t>faqe 105</t>
  </si>
  <si>
    <t>Situata 105</t>
  </si>
  <si>
    <t>Metodologjia 105</t>
  </si>
  <si>
    <t>Vleresimi 105</t>
  </si>
  <si>
    <t>Burimi 105</t>
  </si>
  <si>
    <t>Rezultati 105</t>
  </si>
  <si>
    <t>Fjale Kyce 105</t>
  </si>
  <si>
    <t>Lidhja me fushat e tjera 105</t>
  </si>
  <si>
    <t>Organizimi 105</t>
  </si>
  <si>
    <t>Kompetenca 105</t>
  </si>
  <si>
    <t>Lenda1 Tema106</t>
  </si>
  <si>
    <t>Detyre shtepie 106</t>
  </si>
  <si>
    <t>faqe 106</t>
  </si>
  <si>
    <t>Situata 106</t>
  </si>
  <si>
    <t>Metodologjia 106</t>
  </si>
  <si>
    <t>Vleresimi 106</t>
  </si>
  <si>
    <t>Burimi 106</t>
  </si>
  <si>
    <t>Rezultati 106</t>
  </si>
  <si>
    <t>Fjale Kyce 106</t>
  </si>
  <si>
    <t>Lidhja me fushat e tjera 106</t>
  </si>
  <si>
    <t>Organizimi 106</t>
  </si>
  <si>
    <t>Kompetenca 106</t>
  </si>
  <si>
    <t>Lenda1 Tema107</t>
  </si>
  <si>
    <t>Detyre shtepie 107</t>
  </si>
  <si>
    <t>faqe 107</t>
  </si>
  <si>
    <t>Situata 107</t>
  </si>
  <si>
    <t>Metodologjia 107</t>
  </si>
  <si>
    <t>Vleresimi 107</t>
  </si>
  <si>
    <t>Burimi 107</t>
  </si>
  <si>
    <t>Rezultati 107</t>
  </si>
  <si>
    <t>Fjale Kyce 107</t>
  </si>
  <si>
    <t>Lidhja me fushat e tjera 107</t>
  </si>
  <si>
    <t>Organizimi 107</t>
  </si>
  <si>
    <t>Kompetenca 107</t>
  </si>
  <si>
    <t>Lenda1 Tema108</t>
  </si>
  <si>
    <t>Detyre shtepie 108</t>
  </si>
  <si>
    <t>faqe 108</t>
  </si>
  <si>
    <t>Situata 108</t>
  </si>
  <si>
    <t>Metodologjia 108</t>
  </si>
  <si>
    <t>Vleresimi 108</t>
  </si>
  <si>
    <t>Burimi 108</t>
  </si>
  <si>
    <t>Rezultati 108</t>
  </si>
  <si>
    <t>Fjale Kyce 108</t>
  </si>
  <si>
    <t>Lidhja me fushat e tjera 108</t>
  </si>
  <si>
    <t>Organizimi 108</t>
  </si>
  <si>
    <t>Kompetenca 108</t>
  </si>
  <si>
    <r>
      <rPr>
        <rFont val="Times New Roman"/>
        <b/>
        <color theme="1"/>
        <sz val="12.0"/>
      </rPr>
      <t>Situata e të nxënit</t>
    </r>
    <r>
      <rPr>
        <rFont val="Times New Roman"/>
        <b/>
        <i/>
        <color theme="1"/>
        <sz val="12.0"/>
      </rPr>
      <t xml:space="preserve">: </t>
    </r>
  </si>
  <si>
    <t>Lenda 2 tema 1</t>
  </si>
  <si>
    <t>Lenda 2 tema 2</t>
  </si>
  <si>
    <t>Lenda 2 tema 3</t>
  </si>
  <si>
    <t>Lenda 2 tema 4</t>
  </si>
  <si>
    <t>Lenda 2 tema 5</t>
  </si>
  <si>
    <t>Lenda 2 tema 6</t>
  </si>
  <si>
    <t>Lenda 2 tema 7</t>
  </si>
  <si>
    <t>Lenda 2 tema 8</t>
  </si>
  <si>
    <t>Lenda 2 tema 9</t>
  </si>
  <si>
    <t>Lenda 2 tema 10</t>
  </si>
  <si>
    <t>Lenda 2 tema 11</t>
  </si>
  <si>
    <t>Lenda 2 tema 12</t>
  </si>
  <si>
    <t>Lenda 2 tema 13</t>
  </si>
  <si>
    <t>Lenda 2 tema 14</t>
  </si>
  <si>
    <t>Lenda 2 tema 15</t>
  </si>
  <si>
    <t>Lenda 2 tema 16</t>
  </si>
  <si>
    <t>Lenda 2 tema 17</t>
  </si>
  <si>
    <t>Lenda 2 tema 18</t>
  </si>
  <si>
    <t>Lenda 2 tema 19</t>
  </si>
  <si>
    <t>Lenda 2 tema 20</t>
  </si>
  <si>
    <t>Lenda 2 tema 21</t>
  </si>
  <si>
    <t>Lenda 2 tema 22</t>
  </si>
  <si>
    <t>Lenda 2 tema 23</t>
  </si>
  <si>
    <t>Lenda 2 tema 24</t>
  </si>
  <si>
    <t>Lenda 2 tema 25</t>
  </si>
  <si>
    <t>Lenda 2 tema 26</t>
  </si>
  <si>
    <t>Lenda 2 tema 27</t>
  </si>
  <si>
    <t>Lenda 2 tema 28</t>
  </si>
  <si>
    <t>Lenda 2 tema 29</t>
  </si>
  <si>
    <t>Lenda 2 tema 30</t>
  </si>
  <si>
    <t>Lenda 2 tema 31</t>
  </si>
  <si>
    <t>Lenda 2 tema 32</t>
  </si>
  <si>
    <t>Lenda 2 tema 33</t>
  </si>
  <si>
    <t>Lenda 2 tema 34</t>
  </si>
  <si>
    <t>Lenda 2 tema 35</t>
  </si>
  <si>
    <t>Lenda 2 tema 36</t>
  </si>
  <si>
    <t>Lenda 2 tema 37</t>
  </si>
  <si>
    <t>Lenda 2 tema 38</t>
  </si>
  <si>
    <t>Lenda 2 tema 39</t>
  </si>
  <si>
    <t>Lenda 2 tema 40</t>
  </si>
  <si>
    <t>Lenda 2 tema 41</t>
  </si>
  <si>
    <t>Lenda 2 tema 42</t>
  </si>
  <si>
    <t>Lenda 2 tema 43</t>
  </si>
  <si>
    <t>Lenda 2 tema 44</t>
  </si>
  <si>
    <t>Lenda 2 tema 45</t>
  </si>
  <si>
    <t>Lenda 2 tema 46</t>
  </si>
  <si>
    <t>Lenda 2 tema 47</t>
  </si>
  <si>
    <t>Lenda 2 tema 48</t>
  </si>
  <si>
    <t>Lenda 2 tema 49</t>
  </si>
  <si>
    <t>Lenda 2 tema 50</t>
  </si>
  <si>
    <t>Lenda 2 tema 51</t>
  </si>
  <si>
    <t>Lenda 2 tema 52</t>
  </si>
  <si>
    <t>Lenda 2 tema 53</t>
  </si>
  <si>
    <t>Lenda 2 tema 54</t>
  </si>
  <si>
    <t>Lenda 2 tema 55</t>
  </si>
  <si>
    <t>Lenda 2 tema 56</t>
  </si>
  <si>
    <t>Lenda 2 tema 57</t>
  </si>
  <si>
    <t>Lenda 2 tema 58</t>
  </si>
  <si>
    <t>Lenda 2 tema 59</t>
  </si>
  <si>
    <t>Lenda 2 tema 60</t>
  </si>
  <si>
    <t>Lenda 2 tema 61</t>
  </si>
  <si>
    <t>Lenda 2 tema 62</t>
  </si>
  <si>
    <t>Lenda 2 tema 63</t>
  </si>
  <si>
    <t>Lenda 2 tema 64</t>
  </si>
  <si>
    <t>Lenda 2 tema 65</t>
  </si>
  <si>
    <t>Lenda 2 tema 66</t>
  </si>
  <si>
    <t>Lenda 2 tema 67</t>
  </si>
  <si>
    <t>Lenda 2 tema 68</t>
  </si>
  <si>
    <t>Lenda 2 tema 69</t>
  </si>
  <si>
    <t>Lenda 2 tema 70</t>
  </si>
  <si>
    <t>Lenda 2 tema 71</t>
  </si>
  <si>
    <t>Lenda 2 tema 72</t>
  </si>
  <si>
    <t>Lenda 2 tema 73</t>
  </si>
  <si>
    <t>Lenda 2 tema 74</t>
  </si>
  <si>
    <t>Lenda 2 tema 75</t>
  </si>
  <si>
    <t>Lenda 2 tema 76</t>
  </si>
  <si>
    <t>Lenda 2 tema 77</t>
  </si>
  <si>
    <t>Lenda 2 tema 78</t>
  </si>
  <si>
    <t>Lenda 2 tema 79</t>
  </si>
  <si>
    <t>Lenda 2 tema 80</t>
  </si>
  <si>
    <t>Lenda 2 tema 81</t>
  </si>
  <si>
    <t>Lenda 2 tema 82</t>
  </si>
  <si>
    <t>Lenda 2 tema 83</t>
  </si>
  <si>
    <t>Lenda 2 tema 84</t>
  </si>
  <si>
    <t>Lenda 2 tema 85</t>
  </si>
  <si>
    <t>Lenda 2 tema 86</t>
  </si>
  <si>
    <t>Lenda 2 tema 87</t>
  </si>
  <si>
    <t>Lenda 2 tema 88</t>
  </si>
  <si>
    <t>Lenda 2 tema 89</t>
  </si>
  <si>
    <t>Lenda 2 tema 90</t>
  </si>
  <si>
    <t>Lenda 2 tema 91</t>
  </si>
  <si>
    <t>Lenda 2 tema 92</t>
  </si>
  <si>
    <t>Lenda 2 tema 93</t>
  </si>
  <si>
    <t>Lenda 2 tema 94</t>
  </si>
  <si>
    <t>Lenda 2 tema 95</t>
  </si>
  <si>
    <t>Lenda 2 tema 96</t>
  </si>
  <si>
    <t>Lenda 2 tema 97</t>
  </si>
  <si>
    <t>Lenda 2 tema 98</t>
  </si>
  <si>
    <t>Lenda 2 tema 99</t>
  </si>
  <si>
    <t>Lenda 2 tema 100</t>
  </si>
  <si>
    <t>Lenda 2 tema 101</t>
  </si>
  <si>
    <t>Lenda 2 tema 102</t>
  </si>
  <si>
    <t>Lenda 2 tema 103</t>
  </si>
  <si>
    <t>Lenda 2 tema 104</t>
  </si>
  <si>
    <t>Lenda 2 tema 105</t>
  </si>
  <si>
    <t>Lenda 2 tema 106</t>
  </si>
  <si>
    <t>Lenda 2 tema 107</t>
  </si>
  <si>
    <t>Tema108</t>
  </si>
  <si>
    <t>Klasa</t>
  </si>
  <si>
    <t>III3</t>
  </si>
  <si>
    <t>III4</t>
  </si>
  <si>
    <t>III5</t>
  </si>
  <si>
    <t>III6</t>
  </si>
  <si>
    <t>III7</t>
  </si>
  <si>
    <t>III8</t>
  </si>
  <si>
    <t>IV6</t>
  </si>
  <si>
    <t>IV7</t>
  </si>
  <si>
    <t>Data</t>
  </si>
  <si>
    <t>Ore mbrapa</t>
  </si>
  <si>
    <t>Pushimet:</t>
  </si>
  <si>
    <t>Dita e pare kujdestari</t>
  </si>
  <si>
    <t xml:space="preserve">ORARI I MESIMEVE </t>
  </si>
  <si>
    <t>Ditet  
                  Oret</t>
  </si>
  <si>
    <t>E HENE</t>
  </si>
  <si>
    <t>E MARTE</t>
  </si>
  <si>
    <t>E MERKURE</t>
  </si>
  <si>
    <t>E ENJTE</t>
  </si>
  <si>
    <t>E PREMTE</t>
  </si>
  <si>
    <t>1 - 08:00 - 08:45</t>
  </si>
  <si>
    <t>2 - 08:50 - 09:35</t>
  </si>
  <si>
    <t>C++ 3-3</t>
  </si>
  <si>
    <t>C++ 3-7</t>
  </si>
  <si>
    <t>3 - 09:40 - 10:25</t>
  </si>
  <si>
    <t>JAVA 4-7</t>
  </si>
  <si>
    <t>C++ 3-6</t>
  </si>
  <si>
    <t>4 - 10:50 - 11:35</t>
  </si>
  <si>
    <t>C++ 3-5</t>
  </si>
  <si>
    <t>5 - 11:40 - 12:25</t>
  </si>
  <si>
    <t>C++ 3-8</t>
  </si>
  <si>
    <t>C++ 3-4</t>
  </si>
  <si>
    <t>6 - 12:30 - 13:15</t>
  </si>
  <si>
    <t>7 - 13:20 - 14:05</t>
  </si>
  <si>
    <t xml:space="preserve">JAVA  </t>
  </si>
  <si>
    <t xml:space="preserve">E HENE </t>
  </si>
  <si>
    <t>ora 1, 2, 3, 4 pushim</t>
  </si>
  <si>
    <t>III6 ora 5</t>
  </si>
  <si>
    <t xml:space="preserve">Tema </t>
  </si>
  <si>
    <t>Shih permbajtjen bashkengjitur</t>
  </si>
  <si>
    <t>IV7 ora 6</t>
  </si>
  <si>
    <t>III4 ora 7</t>
  </si>
  <si>
    <t>ora 1, 2 ,3 pushim</t>
  </si>
  <si>
    <t>III5 ora 4+5</t>
  </si>
  <si>
    <t xml:space="preserve">Shih permbajtjen e klases: </t>
  </si>
  <si>
    <t>III6 dt:</t>
  </si>
  <si>
    <t>III7 ora 6+7</t>
  </si>
  <si>
    <t>ora 1 pushim</t>
  </si>
  <si>
    <t>III3 ora 2</t>
  </si>
  <si>
    <t>IV7 ora 3+4</t>
  </si>
  <si>
    <t>III8 ora 5+6</t>
  </si>
  <si>
    <t>III5 dt:</t>
  </si>
  <si>
    <t>ora 7 pushim</t>
  </si>
  <si>
    <t>III7 ora 2</t>
  </si>
  <si>
    <t>III3 ora 3+4</t>
  </si>
  <si>
    <t>III4 ora 5+6</t>
  </si>
  <si>
    <t>ora 1+2 pushim</t>
  </si>
  <si>
    <t>III6 ora 3+4</t>
  </si>
  <si>
    <t>III7 dt:</t>
  </si>
  <si>
    <t>III5 ora 5</t>
  </si>
  <si>
    <t>III8 ora 6</t>
  </si>
  <si>
    <t xml:space="preserve">Fusha: </t>
  </si>
  <si>
    <t>Programim</t>
  </si>
  <si>
    <t>Lënda:</t>
  </si>
  <si>
    <t>C++</t>
  </si>
  <si>
    <t>Shkalla: V</t>
  </si>
  <si>
    <t>III</t>
  </si>
  <si>
    <r>
      <rPr>
        <rFont val="Times New Roman"/>
        <b/>
        <color theme="1"/>
        <sz val="12.0"/>
      </rPr>
      <t>Tema mësimore</t>
    </r>
    <r>
      <rPr>
        <rFont val="Times New Roman"/>
        <b val="0"/>
        <color theme="1"/>
        <sz val="12.0"/>
      </rPr>
      <t xml:space="preserve">: </t>
    </r>
  </si>
  <si>
    <r>
      <rPr>
        <rFont val="Times New Roman"/>
        <b/>
        <color theme="1"/>
        <sz val="12.0"/>
      </rPr>
      <t>Situata e të nxënit</t>
    </r>
    <r>
      <rPr>
        <rFont val="Times New Roman"/>
        <b/>
        <i/>
        <color theme="1"/>
        <sz val="12.0"/>
      </rPr>
      <t xml:space="preserve">: </t>
    </r>
  </si>
  <si>
    <r>
      <rPr>
        <rFont val="Times New Roman"/>
        <b/>
        <color theme="1"/>
        <sz val="12.0"/>
      </rPr>
      <t>Fjalët kyç</t>
    </r>
    <r>
      <rPr>
        <rFont val="Times New Roman"/>
        <b val="0"/>
        <color theme="1"/>
        <sz val="12.0"/>
      </rPr>
      <t xml:space="preserve">: </t>
    </r>
  </si>
  <si>
    <t>Detyrat dhe puna e pavarur:</t>
  </si>
  <si>
    <t>JAVA</t>
  </si>
  <si>
    <t>IV</t>
  </si>
  <si>
    <r>
      <rPr>
        <rFont val="Times New Roman"/>
        <b/>
        <color theme="1"/>
        <sz val="14.0"/>
      </rPr>
      <t>Tema mësimore</t>
    </r>
    <r>
      <rPr>
        <rFont val="Times New Roman"/>
        <b val="0"/>
        <color theme="1"/>
        <sz val="14.0"/>
      </rPr>
      <t xml:space="preserve">: </t>
    </r>
  </si>
  <si>
    <r>
      <rPr>
        <rFont val="Times New Roman"/>
        <b/>
        <color theme="1"/>
        <sz val="14.0"/>
      </rPr>
      <t>Situata e të nxënit</t>
    </r>
    <r>
      <rPr>
        <rFont val="Times New Roman"/>
        <b/>
        <i/>
        <color theme="1"/>
        <sz val="14.0"/>
      </rPr>
      <t xml:space="preserve">: </t>
    </r>
  </si>
  <si>
    <r>
      <rPr>
        <rFont val="Times New Roman"/>
        <b/>
        <color theme="1"/>
        <sz val="14.0"/>
      </rPr>
      <t>Fjalët kyç</t>
    </r>
    <r>
      <rPr>
        <rFont val="Times New Roman"/>
        <b val="0"/>
        <color theme="1"/>
        <sz val="14.0"/>
      </rPr>
      <t xml:space="preserve">: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</si>
</sst>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8">
    <font>
      <sz val="10.0"/>
      <color rgb="FF000000"/>
      <name val="Calibri"/>
      <scheme val="minor"/>
    </font>
    <font>
      <sz val="10.0"/>
      <color theme="1"/>
      <name val="Calibri"/>
    </font>
    <font>
      <color theme="1"/>
      <name val="Calibri"/>
    </font>
    <font>
      <b/>
      <sz val="10.0"/>
      <color theme="1"/>
      <name val="Arial"/>
    </font>
    <font>
      <b/>
      <sz val="12.0"/>
      <color theme="1"/>
      <name val="Times New Roman"/>
    </font>
    <font>
      <sz val="10.0"/>
      <color theme="1"/>
      <name val="Arial"/>
    </font>
    <font>
      <sz val="10.0"/>
      <color rgb="FF000000"/>
      <name val="Arial"/>
    </font>
    <font>
      <sz val="12.0"/>
      <color theme="1"/>
      <name val="Times New Roman"/>
    </font>
    <font>
      <sz val="13.0"/>
      <color rgb="FF000000"/>
      <name val="Calibri"/>
    </font>
    <font/>
    <font>
      <sz val="12.0"/>
      <color theme="1"/>
      <name val="Arial"/>
    </font>
    <font>
      <sz val="10.0"/>
      <color rgb="FF000000"/>
      <name val="Calibri"/>
    </font>
    <font>
      <b/>
      <i/>
      <sz val="12.0"/>
      <color theme="1"/>
      <name val="Times New Roman"/>
    </font>
    <font>
      <i/>
      <sz val="12.0"/>
      <color theme="1"/>
      <name val="Times New Roman"/>
    </font>
    <font>
      <b/>
      <sz val="14.0"/>
      <color theme="1"/>
      <name val="Times New Roman"/>
    </font>
    <font>
      <b/>
      <sz val="16.0"/>
      <color theme="1"/>
      <name val="Times New Roman"/>
    </font>
    <font>
      <sz val="14.0"/>
      <color theme="1"/>
      <name val="Times New Roman"/>
    </font>
    <font>
      <b/>
      <i/>
      <sz val="14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3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5" numFmtId="49" xfId="0" applyAlignment="1" applyBorder="1" applyFont="1" applyNumberFormat="1">
      <alignment vertical="center"/>
    </xf>
    <xf borderId="1" fillId="0" fontId="6" numFmtId="49" xfId="0" applyAlignment="1" applyBorder="1" applyFont="1" applyNumberFormat="1">
      <alignment vertical="center"/>
    </xf>
    <xf borderId="1" fillId="0" fontId="7" numFmtId="49" xfId="0" applyAlignment="1" applyBorder="1" applyFont="1" applyNumberFormat="1">
      <alignment horizontal="left" vertical="center"/>
    </xf>
    <xf borderId="1" fillId="0" fontId="5" numFmtId="49" xfId="0" applyAlignment="1" applyBorder="1" applyFont="1" applyNumberFormat="1">
      <alignment horizontal="left" vertical="center"/>
    </xf>
    <xf borderId="1" fillId="0" fontId="5" numFmtId="49" xfId="0" applyAlignment="1" applyBorder="1" applyFont="1" applyNumberForma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vertical="center"/>
    </xf>
    <xf borderId="2" fillId="0" fontId="8" numFmtId="0" xfId="0" applyAlignment="1" applyBorder="1" applyFont="1">
      <alignment horizontal="center" vertical="center"/>
    </xf>
    <xf borderId="3" fillId="0" fontId="9" numFmtId="0" xfId="0" applyBorder="1" applyFont="1"/>
    <xf borderId="4" fillId="0" fontId="9" numFmtId="0" xfId="0" applyBorder="1" applyFont="1"/>
    <xf borderId="0" fillId="0" fontId="5" numFmtId="49" xfId="0" applyAlignment="1" applyFont="1" applyNumberFormat="1">
      <alignment vertical="center"/>
    </xf>
    <xf borderId="0" fillId="0" fontId="5" numFmtId="49" xfId="0" applyAlignment="1" applyFont="1" applyNumberForma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Font="1"/>
    <xf borderId="1" fillId="0" fontId="4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0" fillId="0" fontId="10" numFmtId="14" xfId="0" applyFont="1" applyNumberFormat="1"/>
    <xf borderId="0" fillId="0" fontId="10" numFmtId="0" xfId="0" applyFont="1"/>
    <xf borderId="1" fillId="0" fontId="3" numFmtId="0" xfId="0" applyBorder="1" applyFont="1"/>
    <xf borderId="3" fillId="0" fontId="3" numFmtId="0" xfId="0" applyBorder="1" applyFont="1"/>
    <xf borderId="1" fillId="0" fontId="5" numFmtId="0" xfId="0" applyBorder="1" applyFont="1"/>
    <xf borderId="0" fillId="0" fontId="10" numFmtId="0" xfId="0" applyAlignment="1" applyFont="1">
      <alignment horizontal="center"/>
    </xf>
    <xf borderId="1" fillId="0" fontId="5" numFmtId="0" xfId="0" applyAlignment="1" applyBorder="1" applyFont="1">
      <alignment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1" numFmtId="0" xfId="0" applyFont="1"/>
    <xf borderId="5" fillId="2" fontId="12" numFmtId="0" xfId="0" applyAlignment="1" applyBorder="1" applyFill="1" applyFont="1">
      <alignment horizontal="left"/>
    </xf>
    <xf borderId="5" fillId="2" fontId="12" numFmtId="1" xfId="0" applyAlignment="1" applyBorder="1" applyFont="1" applyNumberFormat="1">
      <alignment horizontal="center"/>
    </xf>
    <xf borderId="5" fillId="2" fontId="12" numFmtId="0" xfId="0" applyAlignment="1" applyBorder="1" applyFont="1">
      <alignment horizontal="left" vertical="center"/>
    </xf>
    <xf borderId="6" fillId="2" fontId="12" numFmtId="164" xfId="0" applyAlignment="1" applyBorder="1" applyFont="1" applyNumberFormat="1">
      <alignment horizontal="left" vertical="center"/>
    </xf>
    <xf borderId="0" fillId="0" fontId="10" numFmtId="0" xfId="0" applyAlignment="1" applyFont="1">
      <alignment horizontal="left"/>
    </xf>
    <xf borderId="7" fillId="3" fontId="12" numFmtId="0" xfId="0" applyAlignment="1" applyBorder="1" applyFill="1" applyFont="1">
      <alignment horizontal="center" shrinkToFit="0" vertical="center" wrapText="1"/>
    </xf>
    <xf borderId="8" fillId="0" fontId="9" numFmtId="0" xfId="0" applyBorder="1" applyFont="1"/>
    <xf borderId="9" fillId="0" fontId="9" numFmtId="0" xfId="0" applyBorder="1" applyFont="1"/>
    <xf borderId="10" fillId="0" fontId="4" numFmtId="0" xfId="0" applyAlignment="1" applyBorder="1" applyFont="1">
      <alignment horizontal="left" vertical="center"/>
    </xf>
    <xf borderId="11" fillId="0" fontId="7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12" fillId="0" fontId="7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7" numFmtId="49" xfId="0" applyAlignment="1" applyFont="1" applyNumberFormat="1">
      <alignment shrinkToFit="0" vertical="center" wrapText="1"/>
    </xf>
    <xf borderId="14" fillId="0" fontId="7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right" vertical="center"/>
    </xf>
    <xf borderId="14" fillId="0" fontId="7" numFmtId="164" xfId="0" applyAlignment="1" applyBorder="1" applyFont="1" applyNumberFormat="1">
      <alignment horizontal="left" vertical="center"/>
    </xf>
    <xf borderId="11" fillId="0" fontId="9" numFmtId="0" xfId="0" applyBorder="1" applyFont="1"/>
    <xf borderId="12" fillId="0" fontId="9" numFmtId="0" xfId="0" applyBorder="1" applyFont="1"/>
    <xf borderId="15" fillId="0" fontId="4" numFmtId="0" xfId="0" applyAlignment="1" applyBorder="1" applyFont="1">
      <alignment horizontal="left" vertical="center"/>
    </xf>
    <xf borderId="16" fillId="0" fontId="7" numFmtId="0" xfId="0" applyAlignment="1" applyBorder="1" applyFont="1">
      <alignment horizontal="left" vertical="center"/>
    </xf>
    <xf borderId="16" fillId="0" fontId="7" numFmtId="49" xfId="0" applyAlignment="1" applyBorder="1" applyFont="1" applyNumberFormat="1">
      <alignment shrinkToFit="0" vertical="center" wrapText="1"/>
    </xf>
    <xf borderId="16" fillId="0" fontId="7" numFmtId="0" xfId="0" applyAlignment="1" applyBorder="1" applyFont="1">
      <alignment shrinkToFit="0" vertical="center" wrapText="1"/>
    </xf>
    <xf borderId="17" fillId="0" fontId="7" numFmtId="0" xfId="0" applyAlignment="1" applyBorder="1" applyFont="1">
      <alignment horizontal="left" shrinkToFit="0" vertical="center" wrapText="1"/>
    </xf>
    <xf borderId="14" fillId="0" fontId="4" numFmtId="0" xfId="0" applyAlignment="1" applyBorder="1" applyFont="1">
      <alignment horizontal="left" vertical="center"/>
    </xf>
    <xf borderId="0" fillId="0" fontId="10" numFmtId="14" xfId="0" applyAlignment="1" applyFont="1" applyNumberFormat="1">
      <alignment horizontal="left"/>
    </xf>
    <xf borderId="15" fillId="0" fontId="4" numFmtId="0" xfId="0" applyAlignment="1" applyBorder="1" applyFont="1">
      <alignment horizontal="left" shrinkToFit="0" vertical="center" wrapText="1"/>
    </xf>
    <xf borderId="16" fillId="0" fontId="7" numFmtId="0" xfId="0" applyAlignment="1" applyBorder="1" applyFont="1">
      <alignment horizontal="left" shrinkToFit="0" vertical="center" wrapText="1"/>
    </xf>
    <xf borderId="17" fillId="0" fontId="7" numFmtId="49" xfId="0" applyAlignment="1" applyBorder="1" applyFont="1" applyNumberFormat="1">
      <alignment horizontal="left" shrinkToFit="0" vertical="center" wrapText="1"/>
    </xf>
    <xf borderId="0" fillId="0" fontId="10" numFmtId="0" xfId="0" applyAlignment="1" applyFont="1">
      <alignment horizontal="left" shrinkToFit="0" wrapText="1"/>
    </xf>
    <xf borderId="0" fillId="0" fontId="10" numFmtId="14" xfId="0" applyAlignment="1" applyFont="1" applyNumberFormat="1">
      <alignment horizontal="left" shrinkToFit="0" wrapText="1"/>
    </xf>
    <xf borderId="8" fillId="0" fontId="10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18" fillId="2" fontId="12" numFmtId="0" xfId="0" applyAlignment="1" applyBorder="1" applyFont="1">
      <alignment horizontal="left" vertical="center"/>
    </xf>
    <xf borderId="19" fillId="2" fontId="12" numFmtId="0" xfId="0" applyAlignment="1" applyBorder="1" applyFont="1">
      <alignment horizontal="left" vertical="center"/>
    </xf>
    <xf borderId="15" fillId="0" fontId="12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16" fillId="0" fontId="7" numFmtId="49" xfId="0" applyAlignment="1" applyBorder="1" applyFont="1" applyNumberFormat="1">
      <alignment horizontal="left" shrinkToFit="0" vertical="center" wrapText="1"/>
    </xf>
    <xf borderId="8" fillId="0" fontId="7" numFmtId="0" xfId="0" applyAlignment="1" applyBorder="1" applyFont="1">
      <alignment horizontal="left" vertical="center"/>
    </xf>
    <xf borderId="5" fillId="2" fontId="12" numFmtId="164" xfId="0" applyAlignment="1" applyBorder="1" applyFont="1" applyNumberFormat="1">
      <alignment horizontal="left" vertical="center"/>
    </xf>
    <xf borderId="16" fillId="0" fontId="9" numFmtId="0" xfId="0" applyBorder="1" applyFont="1"/>
    <xf borderId="17" fillId="0" fontId="9" numFmtId="0" xfId="0" applyBorder="1" applyFont="1"/>
    <xf borderId="13" fillId="0" fontId="10" numFmtId="0" xfId="0" applyAlignment="1" applyBorder="1" applyFont="1">
      <alignment horizontal="left" vertical="center"/>
    </xf>
    <xf borderId="0" fillId="0" fontId="10" numFmtId="0" xfId="0" applyAlignment="1" applyFont="1">
      <alignment horizontal="left" vertical="center"/>
    </xf>
    <xf borderId="17" fillId="0" fontId="13" numFmtId="164" xfId="0" applyAlignment="1" applyBorder="1" applyFont="1" applyNumberFormat="1">
      <alignment horizontal="left" shrinkToFit="0" vertical="center" wrapText="1"/>
    </xf>
    <xf borderId="7" fillId="0" fontId="4" numFmtId="0" xfId="0" applyAlignment="1" applyBorder="1" applyFont="1">
      <alignment horizontal="left" vertical="center"/>
    </xf>
    <xf borderId="8" fillId="0" fontId="7" numFmtId="49" xfId="0" applyAlignment="1" applyBorder="1" applyFont="1" applyNumberFormat="1">
      <alignment shrinkToFit="0" vertical="center" wrapText="1"/>
    </xf>
    <xf borderId="8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horizontal="left" shrinkToFit="0" vertical="center" wrapText="1"/>
    </xf>
    <xf borderId="14" fillId="0" fontId="10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9" fillId="0" fontId="4" numFmtId="0" xfId="0" applyAlignment="1" applyBorder="1" applyFont="1">
      <alignment horizontal="left" vertical="center"/>
    </xf>
    <xf borderId="15" fillId="0" fontId="10" numFmtId="0" xfId="0" applyAlignment="1" applyBorder="1" applyFont="1">
      <alignment horizontal="left" vertical="center"/>
    </xf>
    <xf borderId="16" fillId="0" fontId="10" numFmtId="0" xfId="0" applyAlignment="1" applyBorder="1" applyFont="1">
      <alignment horizontal="left" vertical="center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vertical="center" wrapText="1"/>
    </xf>
    <xf borderId="20" fillId="0" fontId="14" numFmtId="0" xfId="0" applyAlignment="1" applyBorder="1" applyFont="1">
      <alignment horizontal="left" shrinkToFit="0" vertical="center" wrapText="1"/>
    </xf>
    <xf borderId="21" fillId="0" fontId="14" numFmtId="0" xfId="0" applyAlignment="1" applyBorder="1" applyFont="1">
      <alignment horizontal="left" shrinkToFit="0" vertical="center" wrapText="1"/>
    </xf>
    <xf borderId="22" fillId="0" fontId="14" numFmtId="0" xfId="0" applyAlignment="1" applyBorder="1" applyFont="1">
      <alignment horizontal="left" shrinkToFit="0" vertical="center" wrapText="1"/>
    </xf>
    <xf borderId="21" fillId="0" fontId="15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left" shrinkToFit="0" vertical="top" wrapText="1"/>
    </xf>
    <xf borderId="24" fillId="0" fontId="9" numFmtId="0" xfId="0" applyBorder="1" applyFont="1"/>
    <xf borderId="24" fillId="0" fontId="4" numFmtId="0" xfId="0" applyAlignment="1" applyBorder="1" applyFont="1">
      <alignment shrinkToFit="0" vertical="top" wrapText="1"/>
    </xf>
    <xf borderId="25" fillId="0" fontId="4" numFmtId="0" xfId="0" applyAlignment="1" applyBorder="1" applyFont="1">
      <alignment shrinkToFit="0" vertical="top" wrapText="1"/>
    </xf>
    <xf borderId="25" fillId="0" fontId="9" numFmtId="0" xfId="0" applyBorder="1" applyFont="1"/>
    <xf borderId="26" fillId="0" fontId="7" numFmtId="49" xfId="0" applyAlignment="1" applyBorder="1" applyFont="1" applyNumberFormat="1">
      <alignment shrinkToFit="0" vertical="top" wrapText="1"/>
    </xf>
    <xf borderId="27" fillId="0" fontId="9" numFmtId="0" xfId="0" applyBorder="1" applyFont="1"/>
    <xf borderId="20" fillId="0" fontId="4" numFmtId="0" xfId="0" applyAlignment="1" applyBorder="1" applyFont="1">
      <alignment shrinkToFit="0" vertical="top" wrapText="1"/>
    </xf>
    <xf borderId="22" fillId="0" fontId="7" numFmtId="49" xfId="0" applyAlignment="1" applyBorder="1" applyFont="1" applyNumberFormat="1">
      <alignment shrinkToFit="0" vertical="top" wrapText="1"/>
    </xf>
    <xf borderId="21" fillId="0" fontId="9" numFmtId="0" xfId="0" applyBorder="1" applyFont="1"/>
    <xf borderId="26" fillId="0" fontId="7" numFmtId="49" xfId="0" applyAlignment="1" applyBorder="1" applyFont="1" applyNumberFormat="1">
      <alignment horizontal="left" shrinkToFit="0" vertical="top" wrapText="1"/>
    </xf>
    <xf borderId="28" fillId="0" fontId="9" numFmtId="0" xfId="0" applyBorder="1" applyFont="1"/>
    <xf borderId="29" fillId="0" fontId="9" numFmtId="0" xfId="0" applyBorder="1" applyFont="1"/>
    <xf borderId="30" fillId="0" fontId="9" numFmtId="0" xfId="0" applyBorder="1" applyFont="1"/>
    <xf borderId="28" fillId="0" fontId="7" numFmtId="0" xfId="0" applyAlignment="1" applyBorder="1" applyFont="1">
      <alignment shrinkToFit="0" vertical="top" wrapText="1"/>
    </xf>
    <xf borderId="26" fillId="0" fontId="4" numFmtId="0" xfId="0" applyAlignment="1" applyBorder="1" applyFont="1">
      <alignment horizontal="left" shrinkToFit="0" vertical="top" wrapText="1"/>
    </xf>
    <xf borderId="28" fillId="0" fontId="7" numFmtId="49" xfId="0" applyAlignment="1" applyBorder="1" applyFont="1" applyNumberFormat="1">
      <alignment shrinkToFit="0" vertical="top" wrapText="1"/>
    </xf>
    <xf borderId="20" fillId="0" fontId="12" numFmtId="0" xfId="0" applyAlignment="1" applyBorder="1" applyFont="1">
      <alignment horizontal="center" shrinkToFit="0" vertical="top" wrapText="1"/>
    </xf>
    <xf borderId="22" fillId="0" fontId="9" numFmtId="0" xfId="0" applyBorder="1" applyFont="1"/>
    <xf borderId="22" fillId="0" fontId="7" numFmtId="0" xfId="0" applyAlignment="1" applyBorder="1" applyFont="1">
      <alignment horizontal="left" shrinkToFit="0" vertical="top" wrapText="1"/>
    </xf>
    <xf borderId="20" fillId="0" fontId="4" numFmtId="0" xfId="0" applyAlignment="1" applyBorder="1" applyFont="1">
      <alignment horizontal="left" shrinkToFit="0" vertical="top" wrapText="1"/>
    </xf>
    <xf borderId="22" fillId="0" fontId="7" numFmtId="49" xfId="0" applyAlignment="1" applyBorder="1" applyFont="1" applyNumberFormat="1">
      <alignment horizontal="left" shrinkToFit="0" vertical="top" wrapText="1"/>
    </xf>
    <xf borderId="23" fillId="0" fontId="4" numFmtId="0" xfId="0" applyAlignment="1" applyBorder="1" applyFont="1">
      <alignment horizontal="center" shrinkToFit="0" vertical="top" wrapText="1"/>
    </xf>
    <xf borderId="28" fillId="0" fontId="7" numFmtId="49" xfId="0" applyAlignment="1" applyBorder="1" applyFont="1" applyNumberFormat="1">
      <alignment horizontal="left" shrinkToFit="0" vertical="top" wrapText="1"/>
    </xf>
    <xf borderId="20" fillId="0" fontId="14" numFmtId="0" xfId="0" applyAlignment="1" applyBorder="1" applyFont="1">
      <alignment horizontal="left" shrinkToFit="0" vertical="top" wrapText="1"/>
    </xf>
    <xf borderId="21" fillId="0" fontId="14" numFmtId="0" xfId="0" applyAlignment="1" applyBorder="1" applyFont="1">
      <alignment horizontal="left" shrinkToFit="0" vertical="top" wrapText="1"/>
    </xf>
    <xf borderId="22" fillId="0" fontId="14" numFmtId="0" xfId="0" applyAlignment="1" applyBorder="1" applyFont="1">
      <alignment horizontal="left" shrinkToFit="0" vertical="top" wrapText="1"/>
    </xf>
    <xf borderId="21" fillId="0" fontId="15" numFmtId="0" xfId="0" applyAlignment="1" applyBorder="1" applyFont="1">
      <alignment horizontal="left" shrinkToFit="0" vertical="top" wrapText="1"/>
    </xf>
    <xf borderId="23" fillId="0" fontId="14" numFmtId="0" xfId="0" applyAlignment="1" applyBorder="1" applyFont="1">
      <alignment horizontal="left" shrinkToFit="0" vertical="top" wrapText="1"/>
    </xf>
    <xf borderId="24" fillId="0" fontId="14" numFmtId="0" xfId="0" applyAlignment="1" applyBorder="1" applyFont="1">
      <alignment shrinkToFit="0" vertical="top" wrapText="1"/>
    </xf>
    <xf borderId="25" fillId="0" fontId="14" numFmtId="49" xfId="0" applyAlignment="1" applyBorder="1" applyFont="1" applyNumberFormat="1">
      <alignment shrinkToFit="0" vertical="top" wrapText="1"/>
    </xf>
    <xf borderId="26" fillId="0" fontId="16" numFmtId="49" xfId="0" applyAlignment="1" applyBorder="1" applyFont="1" applyNumberFormat="1">
      <alignment shrinkToFit="0" vertical="top" wrapText="1"/>
    </xf>
    <xf borderId="20" fillId="0" fontId="14" numFmtId="0" xfId="0" applyAlignment="1" applyBorder="1" applyFont="1">
      <alignment shrinkToFit="0" vertical="top" wrapText="1"/>
    </xf>
    <xf borderId="22" fillId="0" fontId="16" numFmtId="0" xfId="0" applyAlignment="1" applyBorder="1" applyFont="1">
      <alignment shrinkToFit="0" vertical="top" wrapText="1"/>
    </xf>
    <xf borderId="26" fillId="0" fontId="16" numFmtId="49" xfId="0" applyAlignment="1" applyBorder="1" applyFont="1" applyNumberFormat="1">
      <alignment horizontal="left" shrinkToFit="0" vertical="top" wrapText="1"/>
    </xf>
    <xf borderId="28" fillId="0" fontId="16" numFmtId="0" xfId="0" applyAlignment="1" applyBorder="1" applyFont="1">
      <alignment shrinkToFit="0" vertical="top" wrapText="1"/>
    </xf>
    <xf borderId="26" fillId="0" fontId="14" numFmtId="0" xfId="0" applyAlignment="1" applyBorder="1" applyFont="1">
      <alignment horizontal="left" shrinkToFit="0" vertical="top" wrapText="1"/>
    </xf>
    <xf borderId="28" fillId="0" fontId="16" numFmtId="49" xfId="0" applyAlignment="1" applyBorder="1" applyFont="1" applyNumberFormat="1">
      <alignment shrinkToFit="0" vertical="top" wrapText="1"/>
    </xf>
    <xf borderId="28" fillId="0" fontId="16" numFmtId="49" xfId="0" applyAlignment="1" applyBorder="1" applyFont="1" applyNumberFormat="1">
      <alignment horizontal="left" shrinkToFit="0" vertical="top" wrapText="1"/>
    </xf>
    <xf borderId="20" fillId="0" fontId="17" numFmtId="0" xfId="0" applyAlignment="1" applyBorder="1" applyFont="1">
      <alignment horizontal="center" shrinkToFit="0" vertical="top" wrapText="1"/>
    </xf>
    <xf borderId="22" fillId="0" fontId="16" numFmtId="0" xfId="0" applyAlignment="1" applyBorder="1" applyFont="1">
      <alignment horizontal="left" shrinkToFit="0" vertical="top" wrapText="1"/>
    </xf>
    <xf borderId="24" fillId="0" fontId="16" numFmtId="49" xfId="0" applyAlignment="1" applyBorder="1" applyFont="1" applyNumberFormat="1">
      <alignment horizontal="left" shrinkToFit="0" vertical="top" wrapText="1"/>
    </xf>
    <xf borderId="23" fillId="0" fontId="14" numFmtId="0" xfId="0" applyAlignment="1" applyBorder="1" applyFont="1">
      <alignment horizontal="center" shrinkToFit="0" vertical="top" wrapText="1"/>
    </xf>
    <xf borderId="20" fillId="0" fontId="16" numFmtId="49" xfId="0" applyAlignment="1" applyBorder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8.14"/>
    <col customWidth="1" min="3" max="3" width="18.43"/>
    <col customWidth="1" min="4" max="4" width="10.14"/>
    <col customWidth="1" min="5" max="5" width="19.86"/>
    <col customWidth="1" min="6" max="6" width="22.0"/>
    <col customWidth="1" min="8" max="8" width="11.14"/>
    <col customWidth="1" min="9" max="9" width="15.86"/>
    <col customWidth="1" min="10" max="10" width="13.71"/>
    <col customWidth="1" min="11" max="11" width="22.0"/>
    <col customWidth="1" min="12" max="12" width="8.0"/>
    <col customWidth="1" min="13" max="13" width="12.86"/>
    <col customWidth="1" min="14" max="14" width="18.0"/>
    <col customWidth="1" min="15" max="15" width="19.57"/>
    <col customWidth="1" min="16" max="16" width="31.14"/>
  </cols>
  <sheetData>
    <row r="1" ht="12.75" customHeight="1">
      <c r="A1" s="1">
        <v>1.0</v>
      </c>
      <c r="B1" s="1">
        <v>2.0</v>
      </c>
      <c r="C1" s="1">
        <v>3.0</v>
      </c>
      <c r="D1" s="1">
        <v>3.0</v>
      </c>
      <c r="E1" s="1">
        <v>3.0</v>
      </c>
      <c r="F1" s="1">
        <v>6.0</v>
      </c>
      <c r="G1" s="1">
        <v>7.0</v>
      </c>
      <c r="H1" s="1">
        <v>8.0</v>
      </c>
      <c r="I1" s="1">
        <v>9.0</v>
      </c>
      <c r="J1" s="1">
        <v>10.0</v>
      </c>
      <c r="K1" s="1">
        <v>11.0</v>
      </c>
      <c r="L1" s="1">
        <v>12.0</v>
      </c>
      <c r="M1" s="1">
        <v>13.0</v>
      </c>
      <c r="N1" s="1">
        <v>14.0</v>
      </c>
      <c r="O1" s="1">
        <v>15.0</v>
      </c>
      <c r="P1" s="1">
        <v>16.0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9.25" customHeight="1">
      <c r="A2" s="3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3" t="s">
        <v>0</v>
      </c>
      <c r="M2" s="3" t="s">
        <v>1</v>
      </c>
      <c r="N2" s="5" t="s">
        <v>11</v>
      </c>
      <c r="O2" s="5" t="s">
        <v>12</v>
      </c>
      <c r="P2" s="5" t="s">
        <v>13</v>
      </c>
      <c r="Q2" s="5" t="s">
        <v>14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47.25" customHeight="1">
      <c r="A3" s="7">
        <v>1.0</v>
      </c>
      <c r="B3" s="8" t="s">
        <v>15</v>
      </c>
      <c r="C3" s="9" t="s">
        <v>16</v>
      </c>
      <c r="D3" s="10" t="s">
        <v>17</v>
      </c>
      <c r="E3" s="10" t="s">
        <v>18</v>
      </c>
      <c r="F3" s="11" t="s">
        <v>19</v>
      </c>
      <c r="G3" s="11" t="s">
        <v>20</v>
      </c>
      <c r="H3" s="11" t="s">
        <v>21</v>
      </c>
      <c r="I3" s="10" t="s">
        <v>22</v>
      </c>
      <c r="J3" s="12" t="s">
        <v>23</v>
      </c>
      <c r="K3" s="13" t="s">
        <v>24</v>
      </c>
      <c r="L3" s="11">
        <f t="shared" ref="L3:M3" si="1">A3</f>
        <v>1</v>
      </c>
      <c r="M3" s="11" t="str">
        <f t="shared" si="1"/>
        <v>Lenda1 Tema1</v>
      </c>
      <c r="N3" s="11" t="s">
        <v>25</v>
      </c>
      <c r="O3" s="11" t="s">
        <v>26</v>
      </c>
      <c r="P3" s="12" t="s">
        <v>27</v>
      </c>
      <c r="Q3" s="14">
        <v>1.0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51.0" customHeight="1">
      <c r="A4" s="7">
        <v>2.0</v>
      </c>
      <c r="B4" s="8" t="s">
        <v>28</v>
      </c>
      <c r="C4" s="9" t="s">
        <v>29</v>
      </c>
      <c r="D4" s="10" t="s">
        <v>30</v>
      </c>
      <c r="E4" s="10" t="s">
        <v>31</v>
      </c>
      <c r="F4" s="11" t="s">
        <v>32</v>
      </c>
      <c r="G4" s="11" t="s">
        <v>33</v>
      </c>
      <c r="H4" s="11" t="s">
        <v>34</v>
      </c>
      <c r="I4" s="10" t="s">
        <v>35</v>
      </c>
      <c r="J4" s="12" t="s">
        <v>36</v>
      </c>
      <c r="K4" s="13" t="s">
        <v>37</v>
      </c>
      <c r="L4" s="11">
        <f t="shared" ref="L4:M4" si="2">A4</f>
        <v>2</v>
      </c>
      <c r="M4" s="11" t="str">
        <f t="shared" si="2"/>
        <v>Lenda1 Tema2</v>
      </c>
      <c r="N4" s="11" t="s">
        <v>38</v>
      </c>
      <c r="O4" s="11" t="s">
        <v>26</v>
      </c>
      <c r="P4" s="12" t="s">
        <v>39</v>
      </c>
      <c r="Q4" s="15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51.0" customHeight="1">
      <c r="A5" s="7">
        <v>3.0</v>
      </c>
      <c r="B5" s="8" t="s">
        <v>40</v>
      </c>
      <c r="C5" s="9" t="s">
        <v>41</v>
      </c>
      <c r="D5" s="10" t="s">
        <v>42</v>
      </c>
      <c r="E5" s="10" t="s">
        <v>43</v>
      </c>
      <c r="F5" s="11" t="s">
        <v>44</v>
      </c>
      <c r="G5" s="11" t="s">
        <v>45</v>
      </c>
      <c r="H5" s="11" t="s">
        <v>46</v>
      </c>
      <c r="I5" s="10" t="s">
        <v>47</v>
      </c>
      <c r="J5" s="12" t="s">
        <v>48</v>
      </c>
      <c r="K5" s="13" t="s">
        <v>49</v>
      </c>
      <c r="L5" s="11">
        <f t="shared" ref="L5:M5" si="3">A5</f>
        <v>3</v>
      </c>
      <c r="M5" s="11" t="str">
        <f t="shared" si="3"/>
        <v>Lenda1 Tema3</v>
      </c>
      <c r="N5" s="11" t="s">
        <v>50</v>
      </c>
      <c r="O5" s="11" t="s">
        <v>26</v>
      </c>
      <c r="P5" s="12" t="s">
        <v>51</v>
      </c>
      <c r="Q5" s="16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47.25" customHeight="1">
      <c r="A6" s="7">
        <v>4.0</v>
      </c>
      <c r="B6" s="8" t="s">
        <v>52</v>
      </c>
      <c r="C6" s="9" t="s">
        <v>53</v>
      </c>
      <c r="D6" s="10" t="s">
        <v>54</v>
      </c>
      <c r="E6" s="10" t="s">
        <v>55</v>
      </c>
      <c r="F6" s="11" t="s">
        <v>56</v>
      </c>
      <c r="G6" s="11" t="s">
        <v>57</v>
      </c>
      <c r="H6" s="11" t="s">
        <v>58</v>
      </c>
      <c r="I6" s="10" t="s">
        <v>59</v>
      </c>
      <c r="J6" s="12" t="s">
        <v>60</v>
      </c>
      <c r="K6" s="13" t="s">
        <v>61</v>
      </c>
      <c r="L6" s="11">
        <f t="shared" ref="L6:M6" si="4">A6</f>
        <v>4</v>
      </c>
      <c r="M6" s="11" t="str">
        <f t="shared" si="4"/>
        <v>Lenda1 Tema4</v>
      </c>
      <c r="N6" s="11" t="s">
        <v>62</v>
      </c>
      <c r="O6" s="11" t="s">
        <v>26</v>
      </c>
      <c r="P6" s="12" t="s">
        <v>63</v>
      </c>
      <c r="Q6" s="14">
        <v>2.0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47.25" customHeight="1">
      <c r="A7" s="7">
        <v>5.0</v>
      </c>
      <c r="B7" s="8" t="s">
        <v>64</v>
      </c>
      <c r="C7" s="9" t="s">
        <v>65</v>
      </c>
      <c r="D7" s="10" t="s">
        <v>66</v>
      </c>
      <c r="E7" s="10" t="s">
        <v>67</v>
      </c>
      <c r="F7" s="11" t="s">
        <v>68</v>
      </c>
      <c r="G7" s="11" t="s">
        <v>69</v>
      </c>
      <c r="H7" s="11" t="s">
        <v>70</v>
      </c>
      <c r="I7" s="10" t="s">
        <v>71</v>
      </c>
      <c r="J7" s="12" t="s">
        <v>72</v>
      </c>
      <c r="K7" s="13" t="s">
        <v>73</v>
      </c>
      <c r="L7" s="11">
        <f t="shared" ref="L7:M7" si="5">A7</f>
        <v>5</v>
      </c>
      <c r="M7" s="11" t="str">
        <f t="shared" si="5"/>
        <v>Lenda1 Tema5</v>
      </c>
      <c r="N7" s="11" t="s">
        <v>74</v>
      </c>
      <c r="O7" s="11" t="s">
        <v>26</v>
      </c>
      <c r="P7" s="12" t="s">
        <v>75</v>
      </c>
      <c r="Q7" s="15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63.75" customHeight="1">
      <c r="A8" s="7">
        <v>6.0</v>
      </c>
      <c r="B8" s="8" t="s">
        <v>76</v>
      </c>
      <c r="C8" s="9" t="s">
        <v>77</v>
      </c>
      <c r="D8" s="10" t="s">
        <v>78</v>
      </c>
      <c r="E8" s="10" t="s">
        <v>79</v>
      </c>
      <c r="F8" s="11" t="s">
        <v>80</v>
      </c>
      <c r="G8" s="11" t="s">
        <v>81</v>
      </c>
      <c r="H8" s="11" t="s">
        <v>82</v>
      </c>
      <c r="I8" s="10" t="s">
        <v>83</v>
      </c>
      <c r="J8" s="12" t="s">
        <v>84</v>
      </c>
      <c r="K8" s="13" t="s">
        <v>85</v>
      </c>
      <c r="L8" s="11">
        <f t="shared" ref="L8:M8" si="6">A8</f>
        <v>6</v>
      </c>
      <c r="M8" s="11" t="str">
        <f t="shared" si="6"/>
        <v>Lenda1 Tema6</v>
      </c>
      <c r="N8" s="11" t="s">
        <v>86</v>
      </c>
      <c r="O8" s="11" t="s">
        <v>26</v>
      </c>
      <c r="P8" s="12" t="s">
        <v>87</v>
      </c>
      <c r="Q8" s="16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63.75" customHeight="1">
      <c r="A9" s="7">
        <v>7.0</v>
      </c>
      <c r="B9" s="8" t="s">
        <v>88</v>
      </c>
      <c r="C9" s="9" t="s">
        <v>89</v>
      </c>
      <c r="D9" s="10" t="s">
        <v>90</v>
      </c>
      <c r="E9" s="10" t="s">
        <v>91</v>
      </c>
      <c r="F9" s="11" t="s">
        <v>92</v>
      </c>
      <c r="G9" s="11" t="s">
        <v>93</v>
      </c>
      <c r="H9" s="11" t="s">
        <v>94</v>
      </c>
      <c r="I9" s="10" t="s">
        <v>95</v>
      </c>
      <c r="J9" s="12" t="s">
        <v>96</v>
      </c>
      <c r="K9" s="13" t="s">
        <v>97</v>
      </c>
      <c r="L9" s="11">
        <f t="shared" ref="L9:M9" si="7">A9</f>
        <v>7</v>
      </c>
      <c r="M9" s="11" t="str">
        <f t="shared" si="7"/>
        <v>Lenda1 Tema7</v>
      </c>
      <c r="N9" s="11" t="s">
        <v>98</v>
      </c>
      <c r="O9" s="11" t="s">
        <v>26</v>
      </c>
      <c r="P9" s="12" t="s">
        <v>99</v>
      </c>
      <c r="Q9" s="14">
        <v>3.0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89.25" customHeight="1">
      <c r="A10" s="7">
        <v>8.0</v>
      </c>
      <c r="B10" s="8" t="s">
        <v>100</v>
      </c>
      <c r="C10" s="9" t="s">
        <v>101</v>
      </c>
      <c r="D10" s="10" t="s">
        <v>102</v>
      </c>
      <c r="E10" s="10" t="s">
        <v>103</v>
      </c>
      <c r="F10" s="11" t="s">
        <v>104</v>
      </c>
      <c r="G10" s="11" t="s">
        <v>105</v>
      </c>
      <c r="H10" s="11" t="s">
        <v>106</v>
      </c>
      <c r="I10" s="10" t="s">
        <v>107</v>
      </c>
      <c r="J10" s="12" t="s">
        <v>108</v>
      </c>
      <c r="K10" s="13" t="s">
        <v>109</v>
      </c>
      <c r="L10" s="11">
        <f t="shared" ref="L10:M10" si="8">A10</f>
        <v>8</v>
      </c>
      <c r="M10" s="11" t="str">
        <f t="shared" si="8"/>
        <v>Lenda1 Tema8</v>
      </c>
      <c r="N10" s="11" t="s">
        <v>110</v>
      </c>
      <c r="O10" s="11" t="s">
        <v>26</v>
      </c>
      <c r="P10" s="12" t="s">
        <v>111</v>
      </c>
      <c r="Q10" s="15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02.0" customHeight="1">
      <c r="A11" s="7">
        <v>9.0</v>
      </c>
      <c r="B11" s="8" t="s">
        <v>112</v>
      </c>
      <c r="C11" s="9" t="s">
        <v>113</v>
      </c>
      <c r="D11" s="10" t="s">
        <v>114</v>
      </c>
      <c r="E11" s="10" t="s">
        <v>115</v>
      </c>
      <c r="F11" s="11" t="s">
        <v>116</v>
      </c>
      <c r="G11" s="11" t="s">
        <v>117</v>
      </c>
      <c r="H11" s="11" t="s">
        <v>118</v>
      </c>
      <c r="I11" s="10" t="s">
        <v>119</v>
      </c>
      <c r="J11" s="12" t="s">
        <v>120</v>
      </c>
      <c r="K11" s="13" t="s">
        <v>121</v>
      </c>
      <c r="L11" s="11">
        <f t="shared" ref="L11:M11" si="9">A11</f>
        <v>9</v>
      </c>
      <c r="M11" s="11" t="str">
        <f t="shared" si="9"/>
        <v>Lenda1 Tema9</v>
      </c>
      <c r="N11" s="11" t="s">
        <v>122</v>
      </c>
      <c r="O11" s="11" t="s">
        <v>26</v>
      </c>
      <c r="P11" s="12" t="s">
        <v>123</v>
      </c>
      <c r="Q11" s="16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38.25" customHeight="1">
      <c r="A12" s="7">
        <v>10.0</v>
      </c>
      <c r="B12" s="8" t="s">
        <v>124</v>
      </c>
      <c r="C12" s="9" t="s">
        <v>125</v>
      </c>
      <c r="D12" s="10" t="s">
        <v>126</v>
      </c>
      <c r="E12" s="10" t="s">
        <v>127</v>
      </c>
      <c r="F12" s="11" t="s">
        <v>128</v>
      </c>
      <c r="G12" s="11" t="s">
        <v>129</v>
      </c>
      <c r="H12" s="11" t="s">
        <v>130</v>
      </c>
      <c r="I12" s="10" t="s">
        <v>131</v>
      </c>
      <c r="J12" s="12" t="s">
        <v>132</v>
      </c>
      <c r="K12" s="13" t="s">
        <v>133</v>
      </c>
      <c r="L12" s="11">
        <f t="shared" ref="L12:M12" si="10">A12</f>
        <v>10</v>
      </c>
      <c r="M12" s="11" t="str">
        <f t="shared" si="10"/>
        <v>Lenda1 Tema10</v>
      </c>
      <c r="N12" s="11" t="s">
        <v>134</v>
      </c>
      <c r="O12" s="11" t="s">
        <v>26</v>
      </c>
      <c r="P12" s="12" t="s">
        <v>135</v>
      </c>
      <c r="Q12" s="14">
        <v>4.0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38.25" customHeight="1">
      <c r="A13" s="7">
        <v>11.0</v>
      </c>
      <c r="B13" s="8" t="s">
        <v>136</v>
      </c>
      <c r="C13" s="9" t="s">
        <v>137</v>
      </c>
      <c r="D13" s="10" t="s">
        <v>138</v>
      </c>
      <c r="E13" s="10" t="s">
        <v>139</v>
      </c>
      <c r="F13" s="11" t="s">
        <v>140</v>
      </c>
      <c r="G13" s="11" t="s">
        <v>141</v>
      </c>
      <c r="H13" s="11" t="s">
        <v>142</v>
      </c>
      <c r="I13" s="10" t="s">
        <v>143</v>
      </c>
      <c r="J13" s="12" t="s">
        <v>144</v>
      </c>
      <c r="K13" s="13" t="s">
        <v>145</v>
      </c>
      <c r="L13" s="11">
        <f t="shared" ref="L13:M13" si="11">A13</f>
        <v>11</v>
      </c>
      <c r="M13" s="11" t="str">
        <f t="shared" si="11"/>
        <v>Lenda1 Tema11</v>
      </c>
      <c r="N13" s="11" t="s">
        <v>146</v>
      </c>
      <c r="O13" s="11" t="s">
        <v>26</v>
      </c>
      <c r="P13" s="12" t="s">
        <v>147</v>
      </c>
      <c r="Q13" s="15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38.25" customHeight="1">
      <c r="A14" s="7">
        <v>12.0</v>
      </c>
      <c r="B14" s="8" t="s">
        <v>148</v>
      </c>
      <c r="C14" s="9" t="s">
        <v>149</v>
      </c>
      <c r="D14" s="10" t="s">
        <v>150</v>
      </c>
      <c r="E14" s="10" t="s">
        <v>151</v>
      </c>
      <c r="F14" s="11" t="s">
        <v>152</v>
      </c>
      <c r="G14" s="11" t="s">
        <v>153</v>
      </c>
      <c r="H14" s="11" t="s">
        <v>154</v>
      </c>
      <c r="I14" s="10" t="s">
        <v>155</v>
      </c>
      <c r="J14" s="12" t="s">
        <v>156</v>
      </c>
      <c r="K14" s="13" t="s">
        <v>157</v>
      </c>
      <c r="L14" s="11">
        <f t="shared" ref="L14:M14" si="12">A14</f>
        <v>12</v>
      </c>
      <c r="M14" s="11" t="str">
        <f t="shared" si="12"/>
        <v>Lenda1 Tema12</v>
      </c>
      <c r="N14" s="11" t="s">
        <v>158</v>
      </c>
      <c r="O14" s="11" t="s">
        <v>26</v>
      </c>
      <c r="P14" s="12" t="s">
        <v>159</v>
      </c>
      <c r="Q14" s="16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51.0" customHeight="1">
      <c r="A15" s="7">
        <v>13.0</v>
      </c>
      <c r="B15" s="8" t="s">
        <v>160</v>
      </c>
      <c r="C15" s="9" t="s">
        <v>161</v>
      </c>
      <c r="D15" s="10" t="s">
        <v>162</v>
      </c>
      <c r="E15" s="10" t="s">
        <v>163</v>
      </c>
      <c r="F15" s="11" t="s">
        <v>164</v>
      </c>
      <c r="G15" s="11" t="s">
        <v>165</v>
      </c>
      <c r="H15" s="11" t="s">
        <v>166</v>
      </c>
      <c r="I15" s="10" t="s">
        <v>167</v>
      </c>
      <c r="J15" s="12" t="s">
        <v>168</v>
      </c>
      <c r="K15" s="13" t="s">
        <v>169</v>
      </c>
      <c r="L15" s="11">
        <f t="shared" ref="L15:M15" si="13">A15</f>
        <v>13</v>
      </c>
      <c r="M15" s="11" t="str">
        <f t="shared" si="13"/>
        <v>Lenda1 Tema13</v>
      </c>
      <c r="N15" s="11" t="s">
        <v>170</v>
      </c>
      <c r="O15" s="11" t="s">
        <v>26</v>
      </c>
      <c r="P15" s="12" t="s">
        <v>171</v>
      </c>
      <c r="Q15" s="14">
        <v>5.0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38.25" customHeight="1">
      <c r="A16" s="7">
        <v>14.0</v>
      </c>
      <c r="B16" s="8" t="s">
        <v>172</v>
      </c>
      <c r="C16" s="9" t="s">
        <v>173</v>
      </c>
      <c r="D16" s="10" t="s">
        <v>174</v>
      </c>
      <c r="E16" s="10" t="s">
        <v>175</v>
      </c>
      <c r="F16" s="11" t="s">
        <v>176</v>
      </c>
      <c r="G16" s="11" t="s">
        <v>177</v>
      </c>
      <c r="H16" s="11" t="s">
        <v>178</v>
      </c>
      <c r="I16" s="10" t="s">
        <v>179</v>
      </c>
      <c r="J16" s="12" t="s">
        <v>180</v>
      </c>
      <c r="K16" s="13" t="s">
        <v>181</v>
      </c>
      <c r="L16" s="11">
        <f t="shared" ref="L16:M16" si="14">A16</f>
        <v>14</v>
      </c>
      <c r="M16" s="11" t="str">
        <f t="shared" si="14"/>
        <v>Lenda1 Tema14</v>
      </c>
      <c r="N16" s="11" t="s">
        <v>182</v>
      </c>
      <c r="O16" s="11" t="s">
        <v>26</v>
      </c>
      <c r="P16" s="12" t="s">
        <v>183</v>
      </c>
      <c r="Q16" s="15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38.25" customHeight="1">
      <c r="A17" s="7">
        <v>15.0</v>
      </c>
      <c r="B17" s="8" t="s">
        <v>184</v>
      </c>
      <c r="C17" s="9" t="s">
        <v>185</v>
      </c>
      <c r="D17" s="10" t="s">
        <v>186</v>
      </c>
      <c r="E17" s="10" t="s">
        <v>187</v>
      </c>
      <c r="F17" s="11" t="s">
        <v>188</v>
      </c>
      <c r="G17" s="11" t="s">
        <v>189</v>
      </c>
      <c r="H17" s="11" t="s">
        <v>190</v>
      </c>
      <c r="I17" s="10" t="s">
        <v>191</v>
      </c>
      <c r="J17" s="12" t="s">
        <v>192</v>
      </c>
      <c r="K17" s="13" t="s">
        <v>193</v>
      </c>
      <c r="L17" s="11">
        <f t="shared" ref="L17:M17" si="15">A17</f>
        <v>15</v>
      </c>
      <c r="M17" s="11" t="str">
        <f t="shared" si="15"/>
        <v>Lenda1 Tema15</v>
      </c>
      <c r="N17" s="11" t="s">
        <v>194</v>
      </c>
      <c r="O17" s="11" t="s">
        <v>26</v>
      </c>
      <c r="P17" s="12" t="s">
        <v>195</v>
      </c>
      <c r="Q17" s="16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51.0" customHeight="1">
      <c r="A18" s="7">
        <v>16.0</v>
      </c>
      <c r="B18" s="8" t="s">
        <v>196</v>
      </c>
      <c r="C18" s="9" t="s">
        <v>197</v>
      </c>
      <c r="D18" s="10" t="s">
        <v>198</v>
      </c>
      <c r="E18" s="10" t="s">
        <v>199</v>
      </c>
      <c r="F18" s="11" t="s">
        <v>200</v>
      </c>
      <c r="G18" s="11" t="s">
        <v>201</v>
      </c>
      <c r="H18" s="11" t="s">
        <v>202</v>
      </c>
      <c r="I18" s="10" t="s">
        <v>203</v>
      </c>
      <c r="J18" s="12" t="s">
        <v>204</v>
      </c>
      <c r="K18" s="13" t="s">
        <v>205</v>
      </c>
      <c r="L18" s="11">
        <f t="shared" ref="L18:M18" si="16">A18</f>
        <v>16</v>
      </c>
      <c r="M18" s="11" t="str">
        <f t="shared" si="16"/>
        <v>Lenda1 Tema16</v>
      </c>
      <c r="N18" s="11" t="s">
        <v>206</v>
      </c>
      <c r="O18" s="11" t="s">
        <v>26</v>
      </c>
      <c r="P18" s="12" t="s">
        <v>207</v>
      </c>
      <c r="Q18" s="14">
        <v>6.0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02.0" customHeight="1">
      <c r="A19" s="7">
        <v>17.0</v>
      </c>
      <c r="B19" s="8" t="s">
        <v>208</v>
      </c>
      <c r="C19" s="9" t="s">
        <v>209</v>
      </c>
      <c r="D19" s="10" t="s">
        <v>210</v>
      </c>
      <c r="E19" s="10" t="s">
        <v>211</v>
      </c>
      <c r="F19" s="11" t="s">
        <v>212</v>
      </c>
      <c r="G19" s="11" t="s">
        <v>213</v>
      </c>
      <c r="H19" s="11" t="s">
        <v>214</v>
      </c>
      <c r="I19" s="10" t="s">
        <v>215</v>
      </c>
      <c r="J19" s="12" t="s">
        <v>216</v>
      </c>
      <c r="K19" s="13" t="s">
        <v>217</v>
      </c>
      <c r="L19" s="11">
        <f t="shared" ref="L19:M19" si="17">A19</f>
        <v>17</v>
      </c>
      <c r="M19" s="11" t="str">
        <f t="shared" si="17"/>
        <v>Lenda1 Tema17</v>
      </c>
      <c r="N19" s="11" t="s">
        <v>218</v>
      </c>
      <c r="O19" s="11" t="s">
        <v>26</v>
      </c>
      <c r="P19" s="12" t="s">
        <v>219</v>
      </c>
      <c r="Q19" s="15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38.25" customHeight="1">
      <c r="A20" s="7">
        <v>18.0</v>
      </c>
      <c r="B20" s="8" t="s">
        <v>220</v>
      </c>
      <c r="C20" s="9" t="s">
        <v>221</v>
      </c>
      <c r="D20" s="10" t="s">
        <v>222</v>
      </c>
      <c r="E20" s="10" t="s">
        <v>223</v>
      </c>
      <c r="F20" s="11" t="s">
        <v>224</v>
      </c>
      <c r="G20" s="11" t="s">
        <v>225</v>
      </c>
      <c r="H20" s="11" t="s">
        <v>226</v>
      </c>
      <c r="I20" s="10" t="s">
        <v>227</v>
      </c>
      <c r="J20" s="12" t="s">
        <v>228</v>
      </c>
      <c r="K20" s="13" t="s">
        <v>229</v>
      </c>
      <c r="L20" s="11">
        <f t="shared" ref="L20:M20" si="18">A20</f>
        <v>18</v>
      </c>
      <c r="M20" s="11" t="str">
        <f t="shared" si="18"/>
        <v>Lenda1 Tema18</v>
      </c>
      <c r="N20" s="11" t="s">
        <v>230</v>
      </c>
      <c r="O20" s="11" t="s">
        <v>26</v>
      </c>
      <c r="P20" s="12" t="s">
        <v>231</v>
      </c>
      <c r="Q20" s="16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89.25" customHeight="1">
      <c r="A21" s="7">
        <v>19.0</v>
      </c>
      <c r="B21" s="8" t="s">
        <v>232</v>
      </c>
      <c r="C21" s="9" t="s">
        <v>233</v>
      </c>
      <c r="D21" s="10" t="s">
        <v>234</v>
      </c>
      <c r="E21" s="10" t="s">
        <v>235</v>
      </c>
      <c r="F21" s="11" t="s">
        <v>236</v>
      </c>
      <c r="G21" s="11" t="s">
        <v>237</v>
      </c>
      <c r="H21" s="11" t="s">
        <v>238</v>
      </c>
      <c r="I21" s="10" t="s">
        <v>239</v>
      </c>
      <c r="J21" s="12" t="s">
        <v>240</v>
      </c>
      <c r="K21" s="13" t="s">
        <v>241</v>
      </c>
      <c r="L21" s="11">
        <f t="shared" ref="L21:M21" si="19">A21</f>
        <v>19</v>
      </c>
      <c r="M21" s="11" t="str">
        <f t="shared" si="19"/>
        <v>Lenda1 Tema19</v>
      </c>
      <c r="N21" s="11" t="s">
        <v>242</v>
      </c>
      <c r="O21" s="11" t="s">
        <v>26</v>
      </c>
      <c r="P21" s="12" t="s">
        <v>243</v>
      </c>
      <c r="Q21" s="14">
        <v>7.0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89.25" customHeight="1">
      <c r="A22" s="7">
        <v>20.0</v>
      </c>
      <c r="B22" s="8" t="s">
        <v>244</v>
      </c>
      <c r="C22" s="9" t="s">
        <v>245</v>
      </c>
      <c r="D22" s="10" t="s">
        <v>246</v>
      </c>
      <c r="E22" s="10" t="s">
        <v>247</v>
      </c>
      <c r="F22" s="11" t="s">
        <v>248</v>
      </c>
      <c r="G22" s="11" t="s">
        <v>249</v>
      </c>
      <c r="H22" s="11" t="s">
        <v>250</v>
      </c>
      <c r="I22" s="10" t="s">
        <v>251</v>
      </c>
      <c r="J22" s="12" t="s">
        <v>252</v>
      </c>
      <c r="K22" s="13" t="s">
        <v>253</v>
      </c>
      <c r="L22" s="11">
        <f t="shared" ref="L22:M22" si="20">A22</f>
        <v>20</v>
      </c>
      <c r="M22" s="11" t="str">
        <f t="shared" si="20"/>
        <v>Lenda1 Tema20</v>
      </c>
      <c r="N22" s="11" t="s">
        <v>254</v>
      </c>
      <c r="O22" s="11" t="s">
        <v>26</v>
      </c>
      <c r="P22" s="12" t="s">
        <v>255</v>
      </c>
      <c r="Q22" s="15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63.75" customHeight="1">
      <c r="A23" s="7">
        <v>21.0</v>
      </c>
      <c r="B23" s="8" t="s">
        <v>256</v>
      </c>
      <c r="C23" s="9" t="s">
        <v>257</v>
      </c>
      <c r="D23" s="10" t="s">
        <v>258</v>
      </c>
      <c r="E23" s="10" t="s">
        <v>259</v>
      </c>
      <c r="F23" s="11" t="s">
        <v>260</v>
      </c>
      <c r="G23" s="11" t="s">
        <v>261</v>
      </c>
      <c r="H23" s="11" t="s">
        <v>262</v>
      </c>
      <c r="I23" s="10" t="s">
        <v>263</v>
      </c>
      <c r="J23" s="12" t="s">
        <v>264</v>
      </c>
      <c r="K23" s="13" t="s">
        <v>265</v>
      </c>
      <c r="L23" s="11">
        <f t="shared" ref="L23:M23" si="21">A23</f>
        <v>21</v>
      </c>
      <c r="M23" s="11" t="str">
        <f t="shared" si="21"/>
        <v>Lenda1 Tema21</v>
      </c>
      <c r="N23" s="11" t="s">
        <v>266</v>
      </c>
      <c r="O23" s="11" t="s">
        <v>26</v>
      </c>
      <c r="P23" s="12" t="s">
        <v>267</v>
      </c>
      <c r="Q23" s="16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38.25" customHeight="1">
      <c r="A24" s="7">
        <v>22.0</v>
      </c>
      <c r="B24" s="8" t="s">
        <v>268</v>
      </c>
      <c r="C24" s="9" t="s">
        <v>269</v>
      </c>
      <c r="D24" s="10" t="s">
        <v>270</v>
      </c>
      <c r="E24" s="10" t="s">
        <v>271</v>
      </c>
      <c r="F24" s="11" t="s">
        <v>272</v>
      </c>
      <c r="G24" s="11" t="s">
        <v>273</v>
      </c>
      <c r="H24" s="11" t="s">
        <v>274</v>
      </c>
      <c r="I24" s="10" t="s">
        <v>275</v>
      </c>
      <c r="J24" s="12" t="s">
        <v>276</v>
      </c>
      <c r="K24" s="13" t="s">
        <v>277</v>
      </c>
      <c r="L24" s="11">
        <f t="shared" ref="L24:M24" si="22">A24</f>
        <v>22</v>
      </c>
      <c r="M24" s="11" t="str">
        <f t="shared" si="22"/>
        <v>Lenda1 Tema22</v>
      </c>
      <c r="N24" s="11" t="s">
        <v>278</v>
      </c>
      <c r="O24" s="11" t="s">
        <v>26</v>
      </c>
      <c r="P24" s="12" t="s">
        <v>279</v>
      </c>
      <c r="Q24" s="14">
        <v>8.0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38.25" customHeight="1">
      <c r="A25" s="7">
        <v>23.0</v>
      </c>
      <c r="B25" s="8" t="s">
        <v>280</v>
      </c>
      <c r="C25" s="9" t="s">
        <v>281</v>
      </c>
      <c r="D25" s="10" t="s">
        <v>282</v>
      </c>
      <c r="E25" s="10" t="s">
        <v>283</v>
      </c>
      <c r="F25" s="11" t="s">
        <v>284</v>
      </c>
      <c r="G25" s="11" t="s">
        <v>285</v>
      </c>
      <c r="H25" s="11" t="s">
        <v>286</v>
      </c>
      <c r="I25" s="10" t="s">
        <v>287</v>
      </c>
      <c r="J25" s="12" t="s">
        <v>288</v>
      </c>
      <c r="K25" s="13" t="s">
        <v>289</v>
      </c>
      <c r="L25" s="11">
        <f t="shared" ref="L25:M25" si="23">A25</f>
        <v>23</v>
      </c>
      <c r="M25" s="11" t="str">
        <f t="shared" si="23"/>
        <v>Lenda1 Tema23</v>
      </c>
      <c r="N25" s="11" t="s">
        <v>290</v>
      </c>
      <c r="O25" s="11" t="s">
        <v>26</v>
      </c>
      <c r="P25" s="12" t="s">
        <v>291</v>
      </c>
      <c r="Q25" s="15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39.0" customHeight="1">
      <c r="A26" s="7">
        <v>24.0</v>
      </c>
      <c r="B26" s="8" t="s">
        <v>292</v>
      </c>
      <c r="C26" s="9" t="s">
        <v>293</v>
      </c>
      <c r="D26" s="10" t="s">
        <v>294</v>
      </c>
      <c r="E26" s="10" t="s">
        <v>295</v>
      </c>
      <c r="F26" s="11" t="s">
        <v>296</v>
      </c>
      <c r="G26" s="11" t="s">
        <v>297</v>
      </c>
      <c r="H26" s="11" t="s">
        <v>298</v>
      </c>
      <c r="I26" s="10" t="s">
        <v>299</v>
      </c>
      <c r="J26" s="12" t="s">
        <v>300</v>
      </c>
      <c r="K26" s="13" t="s">
        <v>301</v>
      </c>
      <c r="L26" s="11">
        <f t="shared" ref="L26:M26" si="24">A26</f>
        <v>24</v>
      </c>
      <c r="M26" s="11" t="str">
        <f t="shared" si="24"/>
        <v>Lenda1 Tema24</v>
      </c>
      <c r="N26" s="11" t="s">
        <v>302</v>
      </c>
      <c r="O26" s="11" t="s">
        <v>26</v>
      </c>
      <c r="P26" s="12" t="s">
        <v>303</v>
      </c>
      <c r="Q26" s="16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38.25" customHeight="1">
      <c r="A27" s="7">
        <v>25.0</v>
      </c>
      <c r="B27" s="8" t="s">
        <v>304</v>
      </c>
      <c r="C27" s="9" t="s">
        <v>305</v>
      </c>
      <c r="D27" s="10" t="s">
        <v>306</v>
      </c>
      <c r="E27" s="10" t="s">
        <v>307</v>
      </c>
      <c r="F27" s="11" t="s">
        <v>308</v>
      </c>
      <c r="G27" s="11" t="s">
        <v>309</v>
      </c>
      <c r="H27" s="11" t="s">
        <v>310</v>
      </c>
      <c r="I27" s="10" t="s">
        <v>311</v>
      </c>
      <c r="J27" s="12" t="s">
        <v>312</v>
      </c>
      <c r="K27" s="13" t="s">
        <v>313</v>
      </c>
      <c r="L27" s="11">
        <f t="shared" ref="L27:M27" si="25">A27</f>
        <v>25</v>
      </c>
      <c r="M27" s="11" t="str">
        <f t="shared" si="25"/>
        <v>Lenda1 Tema25</v>
      </c>
      <c r="N27" s="11" t="s">
        <v>314</v>
      </c>
      <c r="O27" s="11" t="s">
        <v>26</v>
      </c>
      <c r="P27" s="12" t="s">
        <v>315</v>
      </c>
      <c r="Q27" s="14">
        <v>9.0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89.25" customHeight="1">
      <c r="A28" s="7">
        <v>26.0</v>
      </c>
      <c r="B28" s="8" t="s">
        <v>316</v>
      </c>
      <c r="C28" s="9" t="s">
        <v>317</v>
      </c>
      <c r="D28" s="10" t="s">
        <v>318</v>
      </c>
      <c r="E28" s="10" t="s">
        <v>319</v>
      </c>
      <c r="F28" s="11" t="s">
        <v>320</v>
      </c>
      <c r="G28" s="11" t="s">
        <v>321</v>
      </c>
      <c r="H28" s="11" t="s">
        <v>322</v>
      </c>
      <c r="I28" s="10" t="s">
        <v>323</v>
      </c>
      <c r="J28" s="12" t="s">
        <v>324</v>
      </c>
      <c r="K28" s="13" t="s">
        <v>325</v>
      </c>
      <c r="L28" s="11">
        <f t="shared" ref="L28:M28" si="26">A28</f>
        <v>26</v>
      </c>
      <c r="M28" s="11" t="str">
        <f t="shared" si="26"/>
        <v>Lenda1 Tema26</v>
      </c>
      <c r="N28" s="11" t="s">
        <v>326</v>
      </c>
      <c r="O28" s="11" t="s">
        <v>26</v>
      </c>
      <c r="P28" s="12" t="s">
        <v>327</v>
      </c>
      <c r="Q28" s="1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51.0" customHeight="1">
      <c r="A29" s="7">
        <v>27.0</v>
      </c>
      <c r="B29" s="8" t="s">
        <v>328</v>
      </c>
      <c r="C29" s="9" t="s">
        <v>329</v>
      </c>
      <c r="D29" s="10" t="s">
        <v>330</v>
      </c>
      <c r="E29" s="10" t="s">
        <v>331</v>
      </c>
      <c r="F29" s="11" t="s">
        <v>332</v>
      </c>
      <c r="G29" s="11" t="s">
        <v>333</v>
      </c>
      <c r="H29" s="11" t="s">
        <v>334</v>
      </c>
      <c r="I29" s="10" t="s">
        <v>335</v>
      </c>
      <c r="J29" s="12" t="s">
        <v>336</v>
      </c>
      <c r="K29" s="13" t="s">
        <v>337</v>
      </c>
      <c r="L29" s="11">
        <f t="shared" ref="L29:M29" si="27">A29</f>
        <v>27</v>
      </c>
      <c r="M29" s="11" t="str">
        <f t="shared" si="27"/>
        <v>Lenda1 Tema27</v>
      </c>
      <c r="N29" s="11" t="s">
        <v>338</v>
      </c>
      <c r="O29" s="11" t="s">
        <v>26</v>
      </c>
      <c r="P29" s="12" t="s">
        <v>339</v>
      </c>
      <c r="Q29" s="1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38.25" customHeight="1">
      <c r="A30" s="7">
        <v>28.0</v>
      </c>
      <c r="B30" s="8" t="s">
        <v>340</v>
      </c>
      <c r="C30" s="9" t="s">
        <v>341</v>
      </c>
      <c r="D30" s="10" t="s">
        <v>342</v>
      </c>
      <c r="E30" s="10" t="s">
        <v>343</v>
      </c>
      <c r="F30" s="11" t="s">
        <v>344</v>
      </c>
      <c r="G30" s="11" t="s">
        <v>345</v>
      </c>
      <c r="H30" s="11" t="s">
        <v>346</v>
      </c>
      <c r="I30" s="10" t="s">
        <v>347</v>
      </c>
      <c r="J30" s="12" t="s">
        <v>348</v>
      </c>
      <c r="K30" s="13" t="s">
        <v>349</v>
      </c>
      <c r="L30" s="11">
        <f t="shared" ref="L30:M30" si="28">A30</f>
        <v>28</v>
      </c>
      <c r="M30" s="11" t="str">
        <f t="shared" si="28"/>
        <v>Lenda1 Tema28</v>
      </c>
      <c r="N30" s="11" t="s">
        <v>350</v>
      </c>
      <c r="O30" s="11" t="s">
        <v>26</v>
      </c>
      <c r="P30" s="12" t="s">
        <v>351</v>
      </c>
      <c r="Q30" s="14">
        <v>10.0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25.5" customHeight="1">
      <c r="A31" s="7">
        <v>29.0</v>
      </c>
      <c r="B31" s="8" t="s">
        <v>352</v>
      </c>
      <c r="C31" s="9" t="s">
        <v>353</v>
      </c>
      <c r="D31" s="10" t="s">
        <v>354</v>
      </c>
      <c r="E31" s="10" t="s">
        <v>355</v>
      </c>
      <c r="F31" s="11" t="s">
        <v>356</v>
      </c>
      <c r="G31" s="11" t="s">
        <v>357</v>
      </c>
      <c r="H31" s="11" t="s">
        <v>358</v>
      </c>
      <c r="I31" s="10" t="s">
        <v>359</v>
      </c>
      <c r="J31" s="12" t="s">
        <v>360</v>
      </c>
      <c r="K31" s="13" t="s">
        <v>361</v>
      </c>
      <c r="L31" s="11">
        <f t="shared" ref="L31:M31" si="29">A31</f>
        <v>29</v>
      </c>
      <c r="M31" s="11" t="str">
        <f t="shared" si="29"/>
        <v>Lenda1 Tema29</v>
      </c>
      <c r="N31" s="11" t="s">
        <v>362</v>
      </c>
      <c r="O31" s="11" t="s">
        <v>26</v>
      </c>
      <c r="P31" s="12" t="s">
        <v>363</v>
      </c>
      <c r="Q31" s="15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23.25" customHeight="1">
      <c r="A32" s="7">
        <v>30.0</v>
      </c>
      <c r="B32" s="8" t="s">
        <v>364</v>
      </c>
      <c r="C32" s="9" t="s">
        <v>365</v>
      </c>
      <c r="D32" s="10" t="s">
        <v>366</v>
      </c>
      <c r="E32" s="10" t="s">
        <v>367</v>
      </c>
      <c r="F32" s="11" t="s">
        <v>368</v>
      </c>
      <c r="G32" s="11" t="s">
        <v>369</v>
      </c>
      <c r="H32" s="11" t="s">
        <v>370</v>
      </c>
      <c r="I32" s="10" t="s">
        <v>371</v>
      </c>
      <c r="J32" s="12" t="s">
        <v>372</v>
      </c>
      <c r="K32" s="13" t="s">
        <v>373</v>
      </c>
      <c r="L32" s="11">
        <f t="shared" ref="L32:M32" si="30">A32</f>
        <v>30</v>
      </c>
      <c r="M32" s="11" t="str">
        <f t="shared" si="30"/>
        <v>Lenda1 Tema30</v>
      </c>
      <c r="N32" s="11" t="s">
        <v>374</v>
      </c>
      <c r="O32" s="11" t="s">
        <v>26</v>
      </c>
      <c r="P32" s="12" t="s">
        <v>375</v>
      </c>
      <c r="Q32" s="1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38.25" customHeight="1">
      <c r="A33" s="7">
        <v>31.0</v>
      </c>
      <c r="B33" s="8" t="s">
        <v>376</v>
      </c>
      <c r="C33" s="9" t="s">
        <v>377</v>
      </c>
      <c r="D33" s="10" t="s">
        <v>378</v>
      </c>
      <c r="E33" s="10" t="s">
        <v>379</v>
      </c>
      <c r="F33" s="11" t="s">
        <v>380</v>
      </c>
      <c r="G33" s="11" t="s">
        <v>381</v>
      </c>
      <c r="H33" s="11" t="s">
        <v>382</v>
      </c>
      <c r="I33" s="10" t="s">
        <v>383</v>
      </c>
      <c r="J33" s="12" t="s">
        <v>384</v>
      </c>
      <c r="K33" s="13" t="s">
        <v>385</v>
      </c>
      <c r="L33" s="11">
        <f t="shared" ref="L33:M33" si="31">A33</f>
        <v>31</v>
      </c>
      <c r="M33" s="11" t="str">
        <f t="shared" si="31"/>
        <v>Lenda1 Tema31</v>
      </c>
      <c r="N33" s="11" t="s">
        <v>386</v>
      </c>
      <c r="O33" s="11" t="s">
        <v>26</v>
      </c>
      <c r="P33" s="12" t="s">
        <v>387</v>
      </c>
      <c r="Q33" s="14">
        <v>11.0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38.25" customHeight="1">
      <c r="A34" s="7">
        <v>32.0</v>
      </c>
      <c r="B34" s="8" t="s">
        <v>388</v>
      </c>
      <c r="C34" s="9" t="s">
        <v>389</v>
      </c>
      <c r="D34" s="10" t="s">
        <v>390</v>
      </c>
      <c r="E34" s="10" t="s">
        <v>391</v>
      </c>
      <c r="F34" s="11" t="s">
        <v>392</v>
      </c>
      <c r="G34" s="11" t="s">
        <v>393</v>
      </c>
      <c r="H34" s="11" t="s">
        <v>394</v>
      </c>
      <c r="I34" s="10" t="s">
        <v>395</v>
      </c>
      <c r="J34" s="12" t="s">
        <v>396</v>
      </c>
      <c r="K34" s="13" t="s">
        <v>397</v>
      </c>
      <c r="L34" s="11">
        <f t="shared" ref="L34:M34" si="32">A34</f>
        <v>32</v>
      </c>
      <c r="M34" s="11" t="str">
        <f t="shared" si="32"/>
        <v>Lenda1 Tema32</v>
      </c>
      <c r="N34" s="11" t="s">
        <v>398</v>
      </c>
      <c r="O34" s="11" t="s">
        <v>26</v>
      </c>
      <c r="P34" s="12" t="s">
        <v>399</v>
      </c>
      <c r="Q34" s="1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51.0" customHeight="1">
      <c r="A35" s="7">
        <v>33.0</v>
      </c>
      <c r="B35" s="8" t="s">
        <v>400</v>
      </c>
      <c r="C35" s="9" t="s">
        <v>401</v>
      </c>
      <c r="D35" s="10" t="s">
        <v>402</v>
      </c>
      <c r="E35" s="10" t="s">
        <v>403</v>
      </c>
      <c r="F35" s="11" t="s">
        <v>404</v>
      </c>
      <c r="G35" s="11" t="s">
        <v>405</v>
      </c>
      <c r="H35" s="11" t="s">
        <v>406</v>
      </c>
      <c r="I35" s="10" t="s">
        <v>407</v>
      </c>
      <c r="J35" s="12" t="s">
        <v>408</v>
      </c>
      <c r="K35" s="13" t="s">
        <v>409</v>
      </c>
      <c r="L35" s="11">
        <f t="shared" ref="L35:M35" si="33">A35</f>
        <v>33</v>
      </c>
      <c r="M35" s="11" t="str">
        <f t="shared" si="33"/>
        <v>Lenda1 Tema33</v>
      </c>
      <c r="N35" s="11" t="s">
        <v>410</v>
      </c>
      <c r="O35" s="11" t="s">
        <v>26</v>
      </c>
      <c r="P35" s="12" t="s">
        <v>411</v>
      </c>
      <c r="Q35" s="1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38.25" customHeight="1">
      <c r="A36" s="7">
        <v>34.0</v>
      </c>
      <c r="B36" s="8" t="s">
        <v>412</v>
      </c>
      <c r="C36" s="9" t="s">
        <v>413</v>
      </c>
      <c r="D36" s="10" t="s">
        <v>414</v>
      </c>
      <c r="E36" s="10" t="s">
        <v>415</v>
      </c>
      <c r="F36" s="11" t="s">
        <v>416</v>
      </c>
      <c r="G36" s="11" t="s">
        <v>417</v>
      </c>
      <c r="H36" s="11" t="s">
        <v>418</v>
      </c>
      <c r="I36" s="10" t="s">
        <v>419</v>
      </c>
      <c r="J36" s="12" t="s">
        <v>420</v>
      </c>
      <c r="K36" s="13" t="s">
        <v>421</v>
      </c>
      <c r="L36" s="11">
        <f t="shared" ref="L36:M36" si="34">A36</f>
        <v>34</v>
      </c>
      <c r="M36" s="11" t="str">
        <f t="shared" si="34"/>
        <v>Lenda1 Tema34</v>
      </c>
      <c r="N36" s="11" t="s">
        <v>422</v>
      </c>
      <c r="O36" s="11" t="s">
        <v>26</v>
      </c>
      <c r="P36" s="12" t="s">
        <v>423</v>
      </c>
      <c r="Q36" s="14">
        <v>12.0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38.25" customHeight="1">
      <c r="A37" s="7">
        <v>35.0</v>
      </c>
      <c r="B37" s="8" t="s">
        <v>424</v>
      </c>
      <c r="C37" s="9" t="s">
        <v>425</v>
      </c>
      <c r="D37" s="10" t="s">
        <v>426</v>
      </c>
      <c r="E37" s="10" t="s">
        <v>427</v>
      </c>
      <c r="F37" s="11" t="s">
        <v>428</v>
      </c>
      <c r="G37" s="11" t="s">
        <v>429</v>
      </c>
      <c r="H37" s="11" t="s">
        <v>430</v>
      </c>
      <c r="I37" s="10" t="s">
        <v>431</v>
      </c>
      <c r="J37" s="12" t="s">
        <v>432</v>
      </c>
      <c r="K37" s="13" t="s">
        <v>433</v>
      </c>
      <c r="L37" s="11">
        <f t="shared" ref="L37:M37" si="35">A37</f>
        <v>35</v>
      </c>
      <c r="M37" s="11" t="str">
        <f t="shared" si="35"/>
        <v>Lenda1 Tema35</v>
      </c>
      <c r="N37" s="11" t="s">
        <v>434</v>
      </c>
      <c r="O37" s="11" t="s">
        <v>26</v>
      </c>
      <c r="P37" s="12" t="s">
        <v>435</v>
      </c>
      <c r="Q37" s="1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51.0" customHeight="1">
      <c r="A38" s="7">
        <v>36.0</v>
      </c>
      <c r="B38" s="8" t="s">
        <v>436</v>
      </c>
      <c r="C38" s="9" t="s">
        <v>437</v>
      </c>
      <c r="D38" s="10" t="s">
        <v>438</v>
      </c>
      <c r="E38" s="10" t="s">
        <v>439</v>
      </c>
      <c r="F38" s="11" t="s">
        <v>440</v>
      </c>
      <c r="G38" s="11" t="s">
        <v>441</v>
      </c>
      <c r="H38" s="11" t="s">
        <v>442</v>
      </c>
      <c r="I38" s="10" t="s">
        <v>443</v>
      </c>
      <c r="J38" s="12" t="s">
        <v>444</v>
      </c>
      <c r="K38" s="13" t="s">
        <v>445</v>
      </c>
      <c r="L38" s="11">
        <f t="shared" ref="L38:M38" si="36">A38</f>
        <v>36</v>
      </c>
      <c r="M38" s="11" t="str">
        <f t="shared" si="36"/>
        <v>Lenda1 Tema36</v>
      </c>
      <c r="N38" s="11" t="s">
        <v>446</v>
      </c>
      <c r="O38" s="11" t="s">
        <v>26</v>
      </c>
      <c r="P38" s="12" t="s">
        <v>447</v>
      </c>
      <c r="Q38" s="1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38.25" customHeight="1">
      <c r="A39" s="7">
        <v>37.0</v>
      </c>
      <c r="B39" s="8" t="s">
        <v>448</v>
      </c>
      <c r="C39" s="9" t="s">
        <v>449</v>
      </c>
      <c r="D39" s="10" t="s">
        <v>450</v>
      </c>
      <c r="E39" s="10" t="s">
        <v>451</v>
      </c>
      <c r="F39" s="11" t="s">
        <v>452</v>
      </c>
      <c r="G39" s="11" t="s">
        <v>453</v>
      </c>
      <c r="H39" s="11" t="s">
        <v>454</v>
      </c>
      <c r="I39" s="10" t="s">
        <v>455</v>
      </c>
      <c r="J39" s="12" t="s">
        <v>456</v>
      </c>
      <c r="K39" s="13" t="s">
        <v>457</v>
      </c>
      <c r="L39" s="11">
        <f t="shared" ref="L39:M39" si="37">A39</f>
        <v>37</v>
      </c>
      <c r="M39" s="11" t="str">
        <f t="shared" si="37"/>
        <v>Lenda1 Tema37</v>
      </c>
      <c r="N39" s="11" t="s">
        <v>458</v>
      </c>
      <c r="O39" s="11" t="s">
        <v>26</v>
      </c>
      <c r="P39" s="12" t="s">
        <v>459</v>
      </c>
      <c r="Q39" s="14">
        <v>13.0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38.25" customHeight="1">
      <c r="A40" s="7">
        <v>38.0</v>
      </c>
      <c r="B40" s="8" t="s">
        <v>460</v>
      </c>
      <c r="C40" s="9" t="s">
        <v>461</v>
      </c>
      <c r="D40" s="10" t="s">
        <v>462</v>
      </c>
      <c r="E40" s="10" t="s">
        <v>463</v>
      </c>
      <c r="F40" s="11" t="s">
        <v>464</v>
      </c>
      <c r="G40" s="11" t="s">
        <v>465</v>
      </c>
      <c r="H40" s="11" t="s">
        <v>466</v>
      </c>
      <c r="I40" s="10" t="s">
        <v>467</v>
      </c>
      <c r="J40" s="12" t="s">
        <v>468</v>
      </c>
      <c r="K40" s="13" t="s">
        <v>469</v>
      </c>
      <c r="L40" s="11">
        <f t="shared" ref="L40:M40" si="38">A40</f>
        <v>38</v>
      </c>
      <c r="M40" s="11" t="str">
        <f t="shared" si="38"/>
        <v>Lenda1 Tema38</v>
      </c>
      <c r="N40" s="11" t="s">
        <v>470</v>
      </c>
      <c r="O40" s="11" t="s">
        <v>26</v>
      </c>
      <c r="P40" s="12" t="s">
        <v>471</v>
      </c>
      <c r="Q40" s="1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38.25" customHeight="1">
      <c r="A41" s="7">
        <v>39.0</v>
      </c>
      <c r="B41" s="8" t="s">
        <v>472</v>
      </c>
      <c r="C41" s="9" t="s">
        <v>473</v>
      </c>
      <c r="D41" s="10" t="s">
        <v>474</v>
      </c>
      <c r="E41" s="10" t="s">
        <v>475</v>
      </c>
      <c r="F41" s="11" t="s">
        <v>476</v>
      </c>
      <c r="G41" s="11" t="s">
        <v>477</v>
      </c>
      <c r="H41" s="11" t="s">
        <v>478</v>
      </c>
      <c r="I41" s="10" t="s">
        <v>479</v>
      </c>
      <c r="J41" s="12" t="s">
        <v>480</v>
      </c>
      <c r="K41" s="13" t="s">
        <v>481</v>
      </c>
      <c r="L41" s="11">
        <f t="shared" ref="L41:L44" si="39">Q39</f>
        <v>13</v>
      </c>
      <c r="M41" s="11" t="str">
        <f t="shared" ref="M41:M44" si="40">B41</f>
        <v>Lenda1 Tema39</v>
      </c>
      <c r="N41" s="11" t="s">
        <v>482</v>
      </c>
      <c r="O41" s="11" t="s">
        <v>26</v>
      </c>
      <c r="P41" s="12" t="s">
        <v>483</v>
      </c>
      <c r="Q41" s="1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38.25" customHeight="1">
      <c r="A42" s="7">
        <v>40.0</v>
      </c>
      <c r="B42" s="8" t="s">
        <v>484</v>
      </c>
      <c r="C42" s="9" t="s">
        <v>485</v>
      </c>
      <c r="D42" s="10" t="s">
        <v>486</v>
      </c>
      <c r="E42" s="10" t="s">
        <v>487</v>
      </c>
      <c r="F42" s="11" t="s">
        <v>488</v>
      </c>
      <c r="G42" s="11" t="s">
        <v>489</v>
      </c>
      <c r="H42" s="11" t="s">
        <v>490</v>
      </c>
      <c r="I42" s="10" t="s">
        <v>491</v>
      </c>
      <c r="J42" s="12" t="s">
        <v>492</v>
      </c>
      <c r="K42" s="13" t="s">
        <v>493</v>
      </c>
      <c r="L42" s="11" t="str">
        <f t="shared" si="39"/>
        <v/>
      </c>
      <c r="M42" s="11" t="str">
        <f t="shared" si="40"/>
        <v>Lenda1 Tema40</v>
      </c>
      <c r="N42" s="11" t="s">
        <v>494</v>
      </c>
      <c r="O42" s="11" t="s">
        <v>26</v>
      </c>
      <c r="P42" s="12" t="s">
        <v>495</v>
      </c>
      <c r="Q42" s="14">
        <v>14.0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38.25" customHeight="1">
      <c r="A43" s="7">
        <v>41.0</v>
      </c>
      <c r="B43" s="8" t="s">
        <v>496</v>
      </c>
      <c r="C43" s="9" t="s">
        <v>497</v>
      </c>
      <c r="D43" s="10" t="s">
        <v>498</v>
      </c>
      <c r="E43" s="10" t="s">
        <v>499</v>
      </c>
      <c r="F43" s="11" t="s">
        <v>500</v>
      </c>
      <c r="G43" s="11" t="s">
        <v>501</v>
      </c>
      <c r="H43" s="11" t="s">
        <v>502</v>
      </c>
      <c r="I43" s="10" t="s">
        <v>503</v>
      </c>
      <c r="J43" s="12" t="s">
        <v>504</v>
      </c>
      <c r="K43" s="13" t="s">
        <v>505</v>
      </c>
      <c r="L43" s="11" t="str">
        <f t="shared" si="39"/>
        <v/>
      </c>
      <c r="M43" s="11" t="str">
        <f t="shared" si="40"/>
        <v>Lenda1 Tema41</v>
      </c>
      <c r="N43" s="11" t="s">
        <v>506</v>
      </c>
      <c r="O43" s="11" t="s">
        <v>26</v>
      </c>
      <c r="P43" s="12" t="s">
        <v>507</v>
      </c>
      <c r="Q43" s="1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38.25" customHeight="1">
      <c r="A44" s="7">
        <v>42.0</v>
      </c>
      <c r="B44" s="8" t="s">
        <v>508</v>
      </c>
      <c r="C44" s="9" t="s">
        <v>509</v>
      </c>
      <c r="D44" s="10" t="s">
        <v>510</v>
      </c>
      <c r="E44" s="10" t="s">
        <v>511</v>
      </c>
      <c r="F44" s="11" t="s">
        <v>512</v>
      </c>
      <c r="G44" s="11" t="s">
        <v>513</v>
      </c>
      <c r="H44" s="11" t="s">
        <v>514</v>
      </c>
      <c r="I44" s="10" t="s">
        <v>515</v>
      </c>
      <c r="J44" s="12" t="s">
        <v>516</v>
      </c>
      <c r="K44" s="13" t="s">
        <v>517</v>
      </c>
      <c r="L44" s="11">
        <f t="shared" si="39"/>
        <v>14</v>
      </c>
      <c r="M44" s="11" t="str">
        <f t="shared" si="40"/>
        <v>Lenda1 Tema42</v>
      </c>
      <c r="N44" s="11" t="s">
        <v>518</v>
      </c>
      <c r="O44" s="11" t="s">
        <v>26</v>
      </c>
      <c r="P44" s="12" t="s">
        <v>519</v>
      </c>
      <c r="Q44" s="1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76.5" customHeight="1">
      <c r="A45" s="7">
        <v>43.0</v>
      </c>
      <c r="B45" s="8" t="s">
        <v>520</v>
      </c>
      <c r="C45" s="9" t="s">
        <v>521</v>
      </c>
      <c r="D45" s="10" t="s">
        <v>522</v>
      </c>
      <c r="E45" s="10" t="s">
        <v>523</v>
      </c>
      <c r="F45" s="11" t="s">
        <v>524</v>
      </c>
      <c r="G45" s="11" t="s">
        <v>525</v>
      </c>
      <c r="H45" s="11" t="s">
        <v>526</v>
      </c>
      <c r="I45" s="10" t="s">
        <v>527</v>
      </c>
      <c r="J45" s="12" t="s">
        <v>528</v>
      </c>
      <c r="K45" s="13" t="s">
        <v>529</v>
      </c>
      <c r="L45" s="11">
        <f t="shared" ref="L45:M45" si="41">A45</f>
        <v>43</v>
      </c>
      <c r="M45" s="11" t="str">
        <f t="shared" si="41"/>
        <v>Lenda1 Tema43</v>
      </c>
      <c r="N45" s="11" t="s">
        <v>530</v>
      </c>
      <c r="O45" s="11" t="s">
        <v>26</v>
      </c>
      <c r="P45" s="12" t="s">
        <v>531</v>
      </c>
      <c r="Q45" s="14">
        <v>15.0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38.25" customHeight="1">
      <c r="A46" s="7">
        <v>44.0</v>
      </c>
      <c r="B46" s="8" t="s">
        <v>532</v>
      </c>
      <c r="C46" s="9" t="s">
        <v>533</v>
      </c>
      <c r="D46" s="10" t="s">
        <v>534</v>
      </c>
      <c r="E46" s="10" t="s">
        <v>535</v>
      </c>
      <c r="F46" s="11" t="s">
        <v>536</v>
      </c>
      <c r="G46" s="11" t="s">
        <v>537</v>
      </c>
      <c r="H46" s="11" t="s">
        <v>538</v>
      </c>
      <c r="I46" s="10" t="s">
        <v>539</v>
      </c>
      <c r="J46" s="12" t="s">
        <v>540</v>
      </c>
      <c r="K46" s="13" t="s">
        <v>541</v>
      </c>
      <c r="L46" s="11">
        <f t="shared" ref="L46:M46" si="42">A46</f>
        <v>44</v>
      </c>
      <c r="M46" s="11" t="str">
        <f t="shared" si="42"/>
        <v>Lenda1 Tema44</v>
      </c>
      <c r="N46" s="11" t="s">
        <v>542</v>
      </c>
      <c r="O46" s="11" t="s">
        <v>26</v>
      </c>
      <c r="P46" s="12" t="s">
        <v>543</v>
      </c>
      <c r="Q46" s="1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38.25" customHeight="1">
      <c r="A47" s="7">
        <v>45.0</v>
      </c>
      <c r="B47" s="8" t="s">
        <v>544</v>
      </c>
      <c r="C47" s="9" t="s">
        <v>545</v>
      </c>
      <c r="D47" s="10" t="s">
        <v>546</v>
      </c>
      <c r="E47" s="10" t="s">
        <v>547</v>
      </c>
      <c r="F47" s="11" t="s">
        <v>548</v>
      </c>
      <c r="G47" s="11" t="s">
        <v>549</v>
      </c>
      <c r="H47" s="11" t="s">
        <v>550</v>
      </c>
      <c r="I47" s="10" t="s">
        <v>551</v>
      </c>
      <c r="J47" s="12" t="s">
        <v>552</v>
      </c>
      <c r="K47" s="13" t="s">
        <v>553</v>
      </c>
      <c r="L47" s="11">
        <f t="shared" ref="L47:M47" si="43">A47</f>
        <v>45</v>
      </c>
      <c r="M47" s="11" t="str">
        <f t="shared" si="43"/>
        <v>Lenda1 Tema45</v>
      </c>
      <c r="N47" s="11" t="s">
        <v>554</v>
      </c>
      <c r="O47" s="11" t="s">
        <v>26</v>
      </c>
      <c r="P47" s="12" t="s">
        <v>555</v>
      </c>
      <c r="Q47" s="16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38.25" customHeight="1">
      <c r="A48" s="7">
        <v>46.0</v>
      </c>
      <c r="B48" s="8" t="s">
        <v>556</v>
      </c>
      <c r="C48" s="9" t="s">
        <v>557</v>
      </c>
      <c r="D48" s="10" t="s">
        <v>558</v>
      </c>
      <c r="E48" s="10" t="s">
        <v>559</v>
      </c>
      <c r="F48" s="11" t="s">
        <v>560</v>
      </c>
      <c r="G48" s="11" t="s">
        <v>561</v>
      </c>
      <c r="H48" s="11" t="s">
        <v>562</v>
      </c>
      <c r="I48" s="10" t="s">
        <v>563</v>
      </c>
      <c r="J48" s="12" t="s">
        <v>564</v>
      </c>
      <c r="K48" s="13" t="s">
        <v>565</v>
      </c>
      <c r="L48" s="11">
        <f t="shared" ref="L48:M48" si="44">A48</f>
        <v>46</v>
      </c>
      <c r="M48" s="11" t="str">
        <f t="shared" si="44"/>
        <v>Lenda1 Tema46</v>
      </c>
      <c r="N48" s="11" t="s">
        <v>566</v>
      </c>
      <c r="O48" s="11" t="s">
        <v>26</v>
      </c>
      <c r="P48" s="12" t="s">
        <v>567</v>
      </c>
      <c r="Q48" s="14">
        <v>16.0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38.25" customHeight="1">
      <c r="A49" s="7">
        <v>47.0</v>
      </c>
      <c r="B49" s="8" t="s">
        <v>568</v>
      </c>
      <c r="C49" s="9" t="s">
        <v>569</v>
      </c>
      <c r="D49" s="10" t="s">
        <v>570</v>
      </c>
      <c r="E49" s="10" t="s">
        <v>571</v>
      </c>
      <c r="F49" s="11" t="s">
        <v>572</v>
      </c>
      <c r="G49" s="11" t="s">
        <v>573</v>
      </c>
      <c r="H49" s="11" t="s">
        <v>574</v>
      </c>
      <c r="I49" s="10" t="s">
        <v>575</v>
      </c>
      <c r="J49" s="12" t="s">
        <v>576</v>
      </c>
      <c r="K49" s="13" t="s">
        <v>577</v>
      </c>
      <c r="L49" s="11">
        <f t="shared" ref="L49:M49" si="45">A49</f>
        <v>47</v>
      </c>
      <c r="M49" s="11" t="str">
        <f t="shared" si="45"/>
        <v>Lenda1 Tema47</v>
      </c>
      <c r="N49" s="11" t="s">
        <v>578</v>
      </c>
      <c r="O49" s="11" t="s">
        <v>26</v>
      </c>
      <c r="P49" s="12" t="s">
        <v>579</v>
      </c>
      <c r="Q49" s="15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38.25" customHeight="1">
      <c r="A50" s="7">
        <v>48.0</v>
      </c>
      <c r="B50" s="8" t="s">
        <v>580</v>
      </c>
      <c r="C50" s="9" t="s">
        <v>581</v>
      </c>
      <c r="D50" s="10" t="s">
        <v>582</v>
      </c>
      <c r="E50" s="10" t="s">
        <v>583</v>
      </c>
      <c r="F50" s="11" t="s">
        <v>584</v>
      </c>
      <c r="G50" s="11" t="s">
        <v>585</v>
      </c>
      <c r="H50" s="11" t="s">
        <v>586</v>
      </c>
      <c r="I50" s="10" t="s">
        <v>587</v>
      </c>
      <c r="J50" s="12" t="s">
        <v>588</v>
      </c>
      <c r="K50" s="13" t="s">
        <v>589</v>
      </c>
      <c r="L50" s="11">
        <f t="shared" ref="L50:M50" si="46">A50</f>
        <v>48</v>
      </c>
      <c r="M50" s="11" t="str">
        <f t="shared" si="46"/>
        <v>Lenda1 Tema48</v>
      </c>
      <c r="N50" s="11" t="s">
        <v>590</v>
      </c>
      <c r="O50" s="11" t="s">
        <v>26</v>
      </c>
      <c r="P50" s="12" t="s">
        <v>591</v>
      </c>
      <c r="Q50" s="16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38.25" customHeight="1">
      <c r="A51" s="7">
        <v>49.0</v>
      </c>
      <c r="B51" s="8" t="s">
        <v>592</v>
      </c>
      <c r="C51" s="9" t="s">
        <v>593</v>
      </c>
      <c r="D51" s="10" t="s">
        <v>594</v>
      </c>
      <c r="E51" s="10" t="s">
        <v>595</v>
      </c>
      <c r="F51" s="11" t="s">
        <v>596</v>
      </c>
      <c r="G51" s="11" t="s">
        <v>597</v>
      </c>
      <c r="H51" s="11" t="s">
        <v>598</v>
      </c>
      <c r="I51" s="10" t="s">
        <v>599</v>
      </c>
      <c r="J51" s="12" t="s">
        <v>600</v>
      </c>
      <c r="K51" s="13" t="s">
        <v>601</v>
      </c>
      <c r="L51" s="11">
        <f t="shared" ref="L51:M51" si="47">A51</f>
        <v>49</v>
      </c>
      <c r="M51" s="11" t="str">
        <f t="shared" si="47"/>
        <v>Lenda1 Tema49</v>
      </c>
      <c r="N51" s="11" t="s">
        <v>602</v>
      </c>
      <c r="O51" s="11" t="s">
        <v>26</v>
      </c>
      <c r="P51" s="12" t="s">
        <v>603</v>
      </c>
      <c r="Q51" s="14">
        <v>17.0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76.5" customHeight="1">
      <c r="A52" s="7">
        <v>50.0</v>
      </c>
      <c r="B52" s="8" t="s">
        <v>604</v>
      </c>
      <c r="C52" s="9" t="s">
        <v>605</v>
      </c>
      <c r="D52" s="10" t="s">
        <v>606</v>
      </c>
      <c r="E52" s="10" t="s">
        <v>607</v>
      </c>
      <c r="F52" s="11" t="s">
        <v>608</v>
      </c>
      <c r="G52" s="11" t="s">
        <v>609</v>
      </c>
      <c r="H52" s="11" t="s">
        <v>610</v>
      </c>
      <c r="I52" s="10" t="s">
        <v>611</v>
      </c>
      <c r="J52" s="12" t="s">
        <v>612</v>
      </c>
      <c r="K52" s="13" t="s">
        <v>613</v>
      </c>
      <c r="L52" s="11">
        <f t="shared" ref="L52:M52" si="48">A52</f>
        <v>50</v>
      </c>
      <c r="M52" s="11" t="str">
        <f t="shared" si="48"/>
        <v>Lenda1 Tema50</v>
      </c>
      <c r="N52" s="11" t="s">
        <v>614</v>
      </c>
      <c r="O52" s="11" t="s">
        <v>26</v>
      </c>
      <c r="P52" s="12" t="s">
        <v>615</v>
      </c>
      <c r="Q52" s="15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38.25" customHeight="1">
      <c r="A53" s="7">
        <v>51.0</v>
      </c>
      <c r="B53" s="8" t="s">
        <v>616</v>
      </c>
      <c r="C53" s="9" t="s">
        <v>617</v>
      </c>
      <c r="D53" s="10" t="s">
        <v>618</v>
      </c>
      <c r="E53" s="10" t="s">
        <v>619</v>
      </c>
      <c r="F53" s="11" t="s">
        <v>620</v>
      </c>
      <c r="G53" s="11" t="s">
        <v>621</v>
      </c>
      <c r="H53" s="11" t="s">
        <v>622</v>
      </c>
      <c r="I53" s="10" t="s">
        <v>623</v>
      </c>
      <c r="J53" s="12" t="s">
        <v>624</v>
      </c>
      <c r="K53" s="13" t="s">
        <v>625</v>
      </c>
      <c r="L53" s="11">
        <f t="shared" ref="L53:M53" si="49">A53</f>
        <v>51</v>
      </c>
      <c r="M53" s="11" t="str">
        <f t="shared" si="49"/>
        <v>Lenda1 Tema51</v>
      </c>
      <c r="N53" s="11" t="s">
        <v>626</v>
      </c>
      <c r="O53" s="11" t="s">
        <v>26</v>
      </c>
      <c r="P53" s="12" t="s">
        <v>627</v>
      </c>
      <c r="Q53" s="16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38.25" customHeight="1">
      <c r="A54" s="7">
        <v>52.0</v>
      </c>
      <c r="B54" s="8" t="s">
        <v>628</v>
      </c>
      <c r="C54" s="9" t="s">
        <v>629</v>
      </c>
      <c r="D54" s="10" t="s">
        <v>630</v>
      </c>
      <c r="E54" s="10" t="s">
        <v>631</v>
      </c>
      <c r="F54" s="11" t="s">
        <v>632</v>
      </c>
      <c r="G54" s="11" t="s">
        <v>633</v>
      </c>
      <c r="H54" s="11" t="s">
        <v>634</v>
      </c>
      <c r="I54" s="10" t="s">
        <v>635</v>
      </c>
      <c r="J54" s="12" t="s">
        <v>636</v>
      </c>
      <c r="K54" s="13" t="s">
        <v>637</v>
      </c>
      <c r="L54" s="11">
        <f t="shared" ref="L54:M54" si="50">A54</f>
        <v>52</v>
      </c>
      <c r="M54" s="11" t="str">
        <f t="shared" si="50"/>
        <v>Lenda1 Tema52</v>
      </c>
      <c r="N54" s="11" t="s">
        <v>638</v>
      </c>
      <c r="O54" s="11" t="s">
        <v>26</v>
      </c>
      <c r="P54" s="12" t="s">
        <v>639</v>
      </c>
      <c r="Q54" s="14">
        <v>18.0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38.25" customHeight="1">
      <c r="A55" s="7">
        <v>53.0</v>
      </c>
      <c r="B55" s="8" t="s">
        <v>640</v>
      </c>
      <c r="C55" s="9" t="s">
        <v>641</v>
      </c>
      <c r="D55" s="10" t="s">
        <v>642</v>
      </c>
      <c r="E55" s="10" t="s">
        <v>643</v>
      </c>
      <c r="F55" s="11" t="s">
        <v>644</v>
      </c>
      <c r="G55" s="11" t="s">
        <v>645</v>
      </c>
      <c r="H55" s="11" t="s">
        <v>646</v>
      </c>
      <c r="I55" s="10" t="s">
        <v>647</v>
      </c>
      <c r="J55" s="12" t="s">
        <v>648</v>
      </c>
      <c r="K55" s="13" t="s">
        <v>649</v>
      </c>
      <c r="L55" s="11">
        <f t="shared" ref="L55:M55" si="51">A55</f>
        <v>53</v>
      </c>
      <c r="M55" s="11" t="str">
        <f t="shared" si="51"/>
        <v>Lenda1 Tema53</v>
      </c>
      <c r="N55" s="11" t="s">
        <v>650</v>
      </c>
      <c r="O55" s="11" t="s">
        <v>26</v>
      </c>
      <c r="P55" s="12" t="s">
        <v>651</v>
      </c>
      <c r="Q55" s="15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38.25" customHeight="1">
      <c r="A56" s="7">
        <v>54.0</v>
      </c>
      <c r="B56" s="8" t="s">
        <v>652</v>
      </c>
      <c r="C56" s="9" t="s">
        <v>653</v>
      </c>
      <c r="D56" s="10" t="s">
        <v>654</v>
      </c>
      <c r="E56" s="10" t="s">
        <v>655</v>
      </c>
      <c r="F56" s="11" t="s">
        <v>656</v>
      </c>
      <c r="G56" s="11" t="s">
        <v>657</v>
      </c>
      <c r="H56" s="11" t="s">
        <v>658</v>
      </c>
      <c r="I56" s="10" t="s">
        <v>659</v>
      </c>
      <c r="J56" s="12" t="s">
        <v>660</v>
      </c>
      <c r="K56" s="13" t="s">
        <v>661</v>
      </c>
      <c r="L56" s="11">
        <f t="shared" ref="L56:M56" si="52">A56</f>
        <v>54</v>
      </c>
      <c r="M56" s="11" t="str">
        <f t="shared" si="52"/>
        <v>Lenda1 Tema54</v>
      </c>
      <c r="N56" s="11" t="s">
        <v>662</v>
      </c>
      <c r="O56" s="11" t="s">
        <v>26</v>
      </c>
      <c r="P56" s="12" t="s">
        <v>663</v>
      </c>
      <c r="Q56" s="16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38.25" customHeight="1">
      <c r="A57" s="7">
        <v>55.0</v>
      </c>
      <c r="B57" s="8" t="s">
        <v>664</v>
      </c>
      <c r="C57" s="9" t="s">
        <v>665</v>
      </c>
      <c r="D57" s="10" t="s">
        <v>666</v>
      </c>
      <c r="E57" s="10" t="s">
        <v>667</v>
      </c>
      <c r="F57" s="11" t="s">
        <v>668</v>
      </c>
      <c r="G57" s="11" t="s">
        <v>669</v>
      </c>
      <c r="H57" s="11" t="s">
        <v>670</v>
      </c>
      <c r="I57" s="10" t="s">
        <v>671</v>
      </c>
      <c r="J57" s="12" t="s">
        <v>672</v>
      </c>
      <c r="K57" s="13" t="s">
        <v>673</v>
      </c>
      <c r="L57" s="11">
        <f t="shared" ref="L57:M57" si="53">A57</f>
        <v>55</v>
      </c>
      <c r="M57" s="11" t="str">
        <f t="shared" si="53"/>
        <v>Lenda1 Tema55</v>
      </c>
      <c r="N57" s="11" t="s">
        <v>674</v>
      </c>
      <c r="O57" s="11" t="s">
        <v>26</v>
      </c>
      <c r="P57" s="12" t="s">
        <v>675</v>
      </c>
      <c r="Q57" s="14">
        <v>19.0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39.0" customHeight="1">
      <c r="A58" s="7">
        <v>56.0</v>
      </c>
      <c r="B58" s="8" t="s">
        <v>676</v>
      </c>
      <c r="C58" s="9" t="s">
        <v>677</v>
      </c>
      <c r="D58" s="10" t="s">
        <v>678</v>
      </c>
      <c r="E58" s="10" t="s">
        <v>679</v>
      </c>
      <c r="F58" s="11" t="s">
        <v>680</v>
      </c>
      <c r="G58" s="11" t="s">
        <v>681</v>
      </c>
      <c r="H58" s="11" t="s">
        <v>682</v>
      </c>
      <c r="I58" s="10" t="s">
        <v>683</v>
      </c>
      <c r="J58" s="12" t="s">
        <v>684</v>
      </c>
      <c r="K58" s="13" t="s">
        <v>685</v>
      </c>
      <c r="L58" s="11">
        <f t="shared" ref="L58:M58" si="54">A58</f>
        <v>56</v>
      </c>
      <c r="M58" s="11" t="str">
        <f t="shared" si="54"/>
        <v>Lenda1 Tema56</v>
      </c>
      <c r="N58" s="11" t="s">
        <v>686</v>
      </c>
      <c r="O58" s="11" t="s">
        <v>26</v>
      </c>
      <c r="P58" s="12" t="s">
        <v>687</v>
      </c>
      <c r="Q58" s="15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38.25" customHeight="1">
      <c r="A59" s="7">
        <v>57.0</v>
      </c>
      <c r="B59" s="8" t="s">
        <v>688</v>
      </c>
      <c r="C59" s="9" t="s">
        <v>689</v>
      </c>
      <c r="D59" s="10" t="s">
        <v>690</v>
      </c>
      <c r="E59" s="10" t="s">
        <v>691</v>
      </c>
      <c r="F59" s="11" t="s">
        <v>692</v>
      </c>
      <c r="G59" s="11" t="s">
        <v>693</v>
      </c>
      <c r="H59" s="11" t="s">
        <v>694</v>
      </c>
      <c r="I59" s="10" t="s">
        <v>695</v>
      </c>
      <c r="J59" s="12" t="s">
        <v>696</v>
      </c>
      <c r="K59" s="13" t="s">
        <v>697</v>
      </c>
      <c r="L59" s="11">
        <f t="shared" ref="L59:M59" si="55">A59</f>
        <v>57</v>
      </c>
      <c r="M59" s="11" t="str">
        <f t="shared" si="55"/>
        <v>Lenda1 Tema57</v>
      </c>
      <c r="N59" s="11" t="s">
        <v>698</v>
      </c>
      <c r="O59" s="11" t="s">
        <v>26</v>
      </c>
      <c r="P59" s="12" t="s">
        <v>699</v>
      </c>
      <c r="Q59" s="16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38.25" customHeight="1">
      <c r="A60" s="7">
        <v>58.0</v>
      </c>
      <c r="B60" s="8" t="s">
        <v>700</v>
      </c>
      <c r="C60" s="9" t="s">
        <v>701</v>
      </c>
      <c r="D60" s="10" t="s">
        <v>702</v>
      </c>
      <c r="E60" s="10" t="s">
        <v>703</v>
      </c>
      <c r="F60" s="11" t="s">
        <v>704</v>
      </c>
      <c r="G60" s="11" t="s">
        <v>705</v>
      </c>
      <c r="H60" s="11" t="s">
        <v>706</v>
      </c>
      <c r="I60" s="10" t="s">
        <v>707</v>
      </c>
      <c r="J60" s="12" t="s">
        <v>708</v>
      </c>
      <c r="K60" s="13" t="s">
        <v>709</v>
      </c>
      <c r="L60" s="11">
        <f t="shared" ref="L60:M60" si="56">A60</f>
        <v>58</v>
      </c>
      <c r="M60" s="11" t="str">
        <f t="shared" si="56"/>
        <v>Lenda1 Tema58</v>
      </c>
      <c r="N60" s="11" t="s">
        <v>710</v>
      </c>
      <c r="O60" s="11" t="s">
        <v>26</v>
      </c>
      <c r="P60" s="12" t="s">
        <v>711</v>
      </c>
      <c r="Q60" s="14">
        <v>20.0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38.25" customHeight="1">
      <c r="A61" s="7">
        <v>59.0</v>
      </c>
      <c r="B61" s="8" t="s">
        <v>712</v>
      </c>
      <c r="C61" s="9" t="s">
        <v>713</v>
      </c>
      <c r="D61" s="10" t="s">
        <v>714</v>
      </c>
      <c r="E61" s="10" t="s">
        <v>715</v>
      </c>
      <c r="F61" s="11" t="s">
        <v>716</v>
      </c>
      <c r="G61" s="11" t="s">
        <v>717</v>
      </c>
      <c r="H61" s="11" t="s">
        <v>718</v>
      </c>
      <c r="I61" s="10" t="s">
        <v>719</v>
      </c>
      <c r="J61" s="12" t="s">
        <v>720</v>
      </c>
      <c r="K61" s="13" t="s">
        <v>721</v>
      </c>
      <c r="L61" s="11">
        <f t="shared" ref="L61:M61" si="57">A61</f>
        <v>59</v>
      </c>
      <c r="M61" s="11" t="str">
        <f t="shared" si="57"/>
        <v>Lenda1 Tema59</v>
      </c>
      <c r="N61" s="11" t="s">
        <v>722</v>
      </c>
      <c r="O61" s="11" t="s">
        <v>26</v>
      </c>
      <c r="P61" s="12" t="s">
        <v>723</v>
      </c>
      <c r="Q61" s="1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38.25" customHeight="1">
      <c r="A62" s="7">
        <v>60.0</v>
      </c>
      <c r="B62" s="8" t="s">
        <v>724</v>
      </c>
      <c r="C62" s="9" t="s">
        <v>725</v>
      </c>
      <c r="D62" s="10" t="s">
        <v>726</v>
      </c>
      <c r="E62" s="10" t="s">
        <v>727</v>
      </c>
      <c r="F62" s="11" t="s">
        <v>728</v>
      </c>
      <c r="G62" s="11" t="s">
        <v>729</v>
      </c>
      <c r="H62" s="11" t="s">
        <v>730</v>
      </c>
      <c r="I62" s="10" t="s">
        <v>731</v>
      </c>
      <c r="J62" s="12" t="s">
        <v>732</v>
      </c>
      <c r="K62" s="13" t="s">
        <v>733</v>
      </c>
      <c r="L62" s="11">
        <f t="shared" ref="L62:M62" si="58">A62</f>
        <v>60</v>
      </c>
      <c r="M62" s="11" t="str">
        <f t="shared" si="58"/>
        <v>Lenda1 Tema60</v>
      </c>
      <c r="N62" s="11" t="s">
        <v>734</v>
      </c>
      <c r="O62" s="11" t="s">
        <v>26</v>
      </c>
      <c r="P62" s="12" t="s">
        <v>735</v>
      </c>
      <c r="Q62" s="16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38.25" customHeight="1">
      <c r="A63" s="7">
        <v>61.0</v>
      </c>
      <c r="B63" s="8" t="s">
        <v>736</v>
      </c>
      <c r="C63" s="9" t="s">
        <v>737</v>
      </c>
      <c r="D63" s="10" t="s">
        <v>738</v>
      </c>
      <c r="E63" s="10" t="s">
        <v>739</v>
      </c>
      <c r="F63" s="11" t="s">
        <v>740</v>
      </c>
      <c r="G63" s="11" t="s">
        <v>741</v>
      </c>
      <c r="H63" s="11" t="s">
        <v>742</v>
      </c>
      <c r="I63" s="10" t="s">
        <v>743</v>
      </c>
      <c r="J63" s="12" t="s">
        <v>744</v>
      </c>
      <c r="K63" s="13" t="s">
        <v>745</v>
      </c>
      <c r="L63" s="11">
        <f t="shared" ref="L63:M63" si="59">A63</f>
        <v>61</v>
      </c>
      <c r="M63" s="11" t="str">
        <f t="shared" si="59"/>
        <v>Lenda1 Tema61</v>
      </c>
      <c r="N63" s="11" t="s">
        <v>746</v>
      </c>
      <c r="O63" s="11" t="s">
        <v>26</v>
      </c>
      <c r="P63" s="12" t="s">
        <v>747</v>
      </c>
      <c r="Q63" s="14">
        <v>21.0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38.25" customHeight="1">
      <c r="A64" s="7">
        <v>62.0</v>
      </c>
      <c r="B64" s="8" t="s">
        <v>748</v>
      </c>
      <c r="C64" s="9" t="s">
        <v>749</v>
      </c>
      <c r="D64" s="10" t="s">
        <v>750</v>
      </c>
      <c r="E64" s="10" t="s">
        <v>751</v>
      </c>
      <c r="F64" s="11" t="s">
        <v>752</v>
      </c>
      <c r="G64" s="11" t="s">
        <v>753</v>
      </c>
      <c r="H64" s="11" t="s">
        <v>754</v>
      </c>
      <c r="I64" s="10" t="s">
        <v>755</v>
      </c>
      <c r="J64" s="12" t="s">
        <v>756</v>
      </c>
      <c r="K64" s="13" t="s">
        <v>757</v>
      </c>
      <c r="L64" s="11">
        <f t="shared" ref="L64:M64" si="60">A64</f>
        <v>62</v>
      </c>
      <c r="M64" s="11" t="str">
        <f t="shared" si="60"/>
        <v>Lenda1 Tema62</v>
      </c>
      <c r="N64" s="11" t="s">
        <v>758</v>
      </c>
      <c r="O64" s="11" t="s">
        <v>26</v>
      </c>
      <c r="P64" s="12" t="s">
        <v>759</v>
      </c>
      <c r="Q64" s="15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38.25" customHeight="1">
      <c r="A65" s="7">
        <v>63.0</v>
      </c>
      <c r="B65" s="8" t="s">
        <v>760</v>
      </c>
      <c r="C65" s="9" t="s">
        <v>761</v>
      </c>
      <c r="D65" s="10" t="s">
        <v>762</v>
      </c>
      <c r="E65" s="10" t="s">
        <v>763</v>
      </c>
      <c r="F65" s="11" t="s">
        <v>764</v>
      </c>
      <c r="G65" s="11" t="s">
        <v>765</v>
      </c>
      <c r="H65" s="11" t="s">
        <v>766</v>
      </c>
      <c r="I65" s="10" t="s">
        <v>767</v>
      </c>
      <c r="J65" s="12" t="s">
        <v>768</v>
      </c>
      <c r="K65" s="13" t="s">
        <v>769</v>
      </c>
      <c r="L65" s="11">
        <f t="shared" ref="L65:L71" si="61">A65</f>
        <v>63</v>
      </c>
      <c r="M65" s="12" t="s">
        <v>770</v>
      </c>
      <c r="N65" s="11" t="s">
        <v>771</v>
      </c>
      <c r="O65" s="11" t="s">
        <v>26</v>
      </c>
      <c r="P65" s="12" t="s">
        <v>772</v>
      </c>
      <c r="Q65" s="16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51.0" customHeight="1">
      <c r="A66" s="7">
        <v>64.0</v>
      </c>
      <c r="B66" s="8" t="s">
        <v>773</v>
      </c>
      <c r="C66" s="9" t="s">
        <v>774</v>
      </c>
      <c r="D66" s="10" t="s">
        <v>775</v>
      </c>
      <c r="E66" s="10" t="s">
        <v>776</v>
      </c>
      <c r="F66" s="11" t="s">
        <v>777</v>
      </c>
      <c r="G66" s="11" t="s">
        <v>778</v>
      </c>
      <c r="H66" s="11" t="s">
        <v>779</v>
      </c>
      <c r="I66" s="10" t="s">
        <v>780</v>
      </c>
      <c r="J66" s="12" t="s">
        <v>781</v>
      </c>
      <c r="K66" s="13" t="s">
        <v>782</v>
      </c>
      <c r="L66" s="11">
        <f t="shared" si="61"/>
        <v>64</v>
      </c>
      <c r="M66" s="11" t="str">
        <f t="shared" ref="M66:M71" si="62">B66</f>
        <v>Lenda1 Tema64</v>
      </c>
      <c r="N66" s="11" t="s">
        <v>783</v>
      </c>
      <c r="O66" s="11" t="s">
        <v>26</v>
      </c>
      <c r="P66" s="12" t="s">
        <v>784</v>
      </c>
      <c r="Q66" s="14">
        <v>22.0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51.0" customHeight="1">
      <c r="A67" s="7">
        <v>65.0</v>
      </c>
      <c r="B67" s="8" t="s">
        <v>785</v>
      </c>
      <c r="C67" s="9" t="s">
        <v>786</v>
      </c>
      <c r="D67" s="10" t="s">
        <v>787</v>
      </c>
      <c r="E67" s="10" t="s">
        <v>788</v>
      </c>
      <c r="F67" s="11" t="s">
        <v>789</v>
      </c>
      <c r="G67" s="11" t="s">
        <v>790</v>
      </c>
      <c r="H67" s="11" t="s">
        <v>791</v>
      </c>
      <c r="I67" s="10" t="s">
        <v>792</v>
      </c>
      <c r="J67" s="12" t="s">
        <v>793</v>
      </c>
      <c r="K67" s="13" t="s">
        <v>794</v>
      </c>
      <c r="L67" s="11">
        <f t="shared" si="61"/>
        <v>65</v>
      </c>
      <c r="M67" s="11" t="str">
        <f t="shared" si="62"/>
        <v>Lenda1 Tema65</v>
      </c>
      <c r="N67" s="11" t="s">
        <v>795</v>
      </c>
      <c r="O67" s="11" t="s">
        <v>26</v>
      </c>
      <c r="P67" s="12" t="s">
        <v>796</v>
      </c>
      <c r="Q67" s="15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38.25" customHeight="1">
      <c r="A68" s="7">
        <v>66.0</v>
      </c>
      <c r="B68" s="8" t="s">
        <v>797</v>
      </c>
      <c r="C68" s="9" t="s">
        <v>798</v>
      </c>
      <c r="D68" s="10" t="s">
        <v>799</v>
      </c>
      <c r="E68" s="10" t="s">
        <v>800</v>
      </c>
      <c r="F68" s="11" t="s">
        <v>801</v>
      </c>
      <c r="G68" s="11" t="s">
        <v>802</v>
      </c>
      <c r="H68" s="11" t="s">
        <v>803</v>
      </c>
      <c r="I68" s="10" t="s">
        <v>804</v>
      </c>
      <c r="J68" s="12" t="s">
        <v>805</v>
      </c>
      <c r="K68" s="13" t="s">
        <v>806</v>
      </c>
      <c r="L68" s="11">
        <f t="shared" si="61"/>
        <v>66</v>
      </c>
      <c r="M68" s="11" t="str">
        <f t="shared" si="62"/>
        <v>Lenda1 Tema66</v>
      </c>
      <c r="N68" s="11" t="s">
        <v>807</v>
      </c>
      <c r="O68" s="11" t="s">
        <v>26</v>
      </c>
      <c r="P68" s="12" t="s">
        <v>808</v>
      </c>
      <c r="Q68" s="1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38.25" customHeight="1">
      <c r="A69" s="7">
        <v>67.0</v>
      </c>
      <c r="B69" s="8" t="s">
        <v>809</v>
      </c>
      <c r="C69" s="9" t="s">
        <v>810</v>
      </c>
      <c r="D69" s="10" t="s">
        <v>811</v>
      </c>
      <c r="E69" s="10" t="s">
        <v>812</v>
      </c>
      <c r="F69" s="11" t="s">
        <v>813</v>
      </c>
      <c r="G69" s="11" t="s">
        <v>814</v>
      </c>
      <c r="H69" s="11" t="s">
        <v>815</v>
      </c>
      <c r="I69" s="10" t="s">
        <v>816</v>
      </c>
      <c r="J69" s="12" t="s">
        <v>817</v>
      </c>
      <c r="K69" s="13" t="s">
        <v>818</v>
      </c>
      <c r="L69" s="11">
        <f t="shared" si="61"/>
        <v>67</v>
      </c>
      <c r="M69" s="11" t="str">
        <f t="shared" si="62"/>
        <v>Lenda1 Tema67</v>
      </c>
      <c r="N69" s="11" t="s">
        <v>819</v>
      </c>
      <c r="O69" s="11" t="s">
        <v>26</v>
      </c>
      <c r="P69" s="12" t="s">
        <v>820</v>
      </c>
      <c r="Q69" s="14">
        <v>23.0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38.25" customHeight="1">
      <c r="A70" s="7">
        <v>68.0</v>
      </c>
      <c r="B70" s="8" t="s">
        <v>821</v>
      </c>
      <c r="C70" s="9" t="s">
        <v>822</v>
      </c>
      <c r="D70" s="10" t="s">
        <v>823</v>
      </c>
      <c r="E70" s="10" t="s">
        <v>824</v>
      </c>
      <c r="F70" s="11" t="s">
        <v>825</v>
      </c>
      <c r="G70" s="11" t="s">
        <v>826</v>
      </c>
      <c r="H70" s="11" t="s">
        <v>827</v>
      </c>
      <c r="I70" s="10" t="s">
        <v>828</v>
      </c>
      <c r="J70" s="12" t="s">
        <v>829</v>
      </c>
      <c r="K70" s="13" t="s">
        <v>830</v>
      </c>
      <c r="L70" s="11">
        <f t="shared" si="61"/>
        <v>68</v>
      </c>
      <c r="M70" s="11" t="str">
        <f t="shared" si="62"/>
        <v>Lenda1 Tema68</v>
      </c>
      <c r="N70" s="11" t="s">
        <v>831</v>
      </c>
      <c r="O70" s="11" t="s">
        <v>26</v>
      </c>
      <c r="P70" s="12" t="s">
        <v>832</v>
      </c>
      <c r="Q70" s="15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38.25" customHeight="1">
      <c r="A71" s="7">
        <v>69.0</v>
      </c>
      <c r="B71" s="8" t="s">
        <v>833</v>
      </c>
      <c r="C71" s="9" t="s">
        <v>834</v>
      </c>
      <c r="D71" s="10" t="s">
        <v>835</v>
      </c>
      <c r="E71" s="10" t="s">
        <v>836</v>
      </c>
      <c r="F71" s="11" t="s">
        <v>837</v>
      </c>
      <c r="G71" s="11" t="s">
        <v>838</v>
      </c>
      <c r="H71" s="11" t="s">
        <v>839</v>
      </c>
      <c r="I71" s="10" t="s">
        <v>840</v>
      </c>
      <c r="J71" s="12" t="s">
        <v>841</v>
      </c>
      <c r="K71" s="13" t="s">
        <v>842</v>
      </c>
      <c r="L71" s="11">
        <f t="shared" si="61"/>
        <v>69</v>
      </c>
      <c r="M71" s="11" t="str">
        <f t="shared" si="62"/>
        <v>Lenda1 Tema69</v>
      </c>
      <c r="N71" s="11" t="s">
        <v>843</v>
      </c>
      <c r="O71" s="11" t="s">
        <v>26</v>
      </c>
      <c r="P71" s="12" t="s">
        <v>844</v>
      </c>
      <c r="Q71" s="16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38.25" customHeight="1">
      <c r="A72" s="7">
        <v>70.0</v>
      </c>
      <c r="B72" s="8" t="s">
        <v>845</v>
      </c>
      <c r="C72" s="9" t="s">
        <v>846</v>
      </c>
      <c r="D72" s="10" t="s">
        <v>847</v>
      </c>
      <c r="E72" s="10" t="s">
        <v>848</v>
      </c>
      <c r="F72" s="11" t="s">
        <v>849</v>
      </c>
      <c r="G72" s="11" t="s">
        <v>850</v>
      </c>
      <c r="H72" s="11" t="s">
        <v>851</v>
      </c>
      <c r="I72" s="10" t="s">
        <v>852</v>
      </c>
      <c r="J72" s="12" t="s">
        <v>853</v>
      </c>
      <c r="K72" s="13" t="s">
        <v>854</v>
      </c>
      <c r="L72" s="11">
        <v>48.0</v>
      </c>
      <c r="M72" s="11" t="s">
        <v>855</v>
      </c>
      <c r="N72" s="11" t="s">
        <v>856</v>
      </c>
      <c r="O72" s="11" t="s">
        <v>26</v>
      </c>
      <c r="P72" s="12" t="s">
        <v>857</v>
      </c>
      <c r="Q72" s="14">
        <v>24.0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38.25" customHeight="1">
      <c r="A73" s="7">
        <v>71.0</v>
      </c>
      <c r="B73" s="8" t="s">
        <v>858</v>
      </c>
      <c r="C73" s="9" t="s">
        <v>859</v>
      </c>
      <c r="D73" s="10" t="s">
        <v>860</v>
      </c>
      <c r="E73" s="10" t="s">
        <v>861</v>
      </c>
      <c r="F73" s="11" t="s">
        <v>862</v>
      </c>
      <c r="G73" s="11" t="s">
        <v>863</v>
      </c>
      <c r="H73" s="11" t="s">
        <v>864</v>
      </c>
      <c r="I73" s="10" t="s">
        <v>865</v>
      </c>
      <c r="J73" s="12" t="s">
        <v>866</v>
      </c>
      <c r="K73" s="13" t="s">
        <v>867</v>
      </c>
      <c r="L73" s="11">
        <f t="shared" ref="L73:M73" si="63">A73</f>
        <v>71</v>
      </c>
      <c r="M73" s="11" t="str">
        <f t="shared" si="63"/>
        <v>Lenda1 Tema71</v>
      </c>
      <c r="N73" s="11" t="s">
        <v>868</v>
      </c>
      <c r="O73" s="11" t="s">
        <v>26</v>
      </c>
      <c r="P73" s="12" t="s">
        <v>869</v>
      </c>
      <c r="Q73" s="15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51.0" customHeight="1">
      <c r="A74" s="7">
        <v>72.0</v>
      </c>
      <c r="B74" s="8" t="s">
        <v>870</v>
      </c>
      <c r="C74" s="9" t="s">
        <v>871</v>
      </c>
      <c r="D74" s="10" t="s">
        <v>872</v>
      </c>
      <c r="E74" s="10" t="s">
        <v>873</v>
      </c>
      <c r="F74" s="11" t="s">
        <v>874</v>
      </c>
      <c r="G74" s="11" t="s">
        <v>875</v>
      </c>
      <c r="H74" s="11" t="s">
        <v>876</v>
      </c>
      <c r="I74" s="10" t="s">
        <v>877</v>
      </c>
      <c r="J74" s="12" t="s">
        <v>878</v>
      </c>
      <c r="K74" s="13" t="s">
        <v>879</v>
      </c>
      <c r="L74" s="11">
        <f t="shared" ref="L74:M74" si="64">A74</f>
        <v>72</v>
      </c>
      <c r="M74" s="11" t="str">
        <f t="shared" si="64"/>
        <v>Lenda1 Tema72</v>
      </c>
      <c r="N74" s="11" t="s">
        <v>880</v>
      </c>
      <c r="O74" s="11" t="s">
        <v>26</v>
      </c>
      <c r="P74" s="12" t="s">
        <v>881</v>
      </c>
      <c r="Q74" s="16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25.5" customHeight="1">
      <c r="A75" s="7">
        <v>73.0</v>
      </c>
      <c r="B75" s="8" t="s">
        <v>882</v>
      </c>
      <c r="C75" s="9" t="s">
        <v>883</v>
      </c>
      <c r="D75" s="10" t="s">
        <v>884</v>
      </c>
      <c r="E75" s="10" t="s">
        <v>885</v>
      </c>
      <c r="F75" s="11" t="s">
        <v>886</v>
      </c>
      <c r="G75" s="11" t="s">
        <v>887</v>
      </c>
      <c r="H75" s="11" t="s">
        <v>888</v>
      </c>
      <c r="I75" s="10" t="s">
        <v>889</v>
      </c>
      <c r="J75" s="12" t="s">
        <v>890</v>
      </c>
      <c r="K75" s="13" t="s">
        <v>891</v>
      </c>
      <c r="L75" s="11">
        <f t="shared" ref="L75:M75" si="65">A75</f>
        <v>73</v>
      </c>
      <c r="M75" s="11" t="str">
        <f t="shared" si="65"/>
        <v>Lenda1 Tema73</v>
      </c>
      <c r="N75" s="11" t="s">
        <v>892</v>
      </c>
      <c r="O75" s="11" t="s">
        <v>26</v>
      </c>
      <c r="P75" s="12" t="s">
        <v>893</v>
      </c>
      <c r="Q75" s="14">
        <v>25.0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38.25" customHeight="1">
      <c r="A76" s="7">
        <v>74.0</v>
      </c>
      <c r="B76" s="8" t="s">
        <v>894</v>
      </c>
      <c r="C76" s="9" t="s">
        <v>895</v>
      </c>
      <c r="D76" s="10" t="s">
        <v>896</v>
      </c>
      <c r="E76" s="10" t="s">
        <v>897</v>
      </c>
      <c r="F76" s="11" t="s">
        <v>898</v>
      </c>
      <c r="G76" s="11" t="s">
        <v>899</v>
      </c>
      <c r="H76" s="11" t="s">
        <v>900</v>
      </c>
      <c r="I76" s="10" t="s">
        <v>901</v>
      </c>
      <c r="J76" s="12" t="s">
        <v>902</v>
      </c>
      <c r="K76" s="13" t="s">
        <v>903</v>
      </c>
      <c r="L76" s="11">
        <f t="shared" ref="L76:M76" si="66">A76</f>
        <v>74</v>
      </c>
      <c r="M76" s="11" t="str">
        <f t="shared" si="66"/>
        <v>Lenda1 Tema74</v>
      </c>
      <c r="N76" s="11" t="s">
        <v>904</v>
      </c>
      <c r="O76" s="11" t="s">
        <v>26</v>
      </c>
      <c r="P76" s="12" t="s">
        <v>905</v>
      </c>
      <c r="Q76" s="1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38.25" customHeight="1">
      <c r="A77" s="7">
        <v>75.0</v>
      </c>
      <c r="B77" s="8" t="s">
        <v>906</v>
      </c>
      <c r="C77" s="9" t="s">
        <v>907</v>
      </c>
      <c r="D77" s="10" t="s">
        <v>908</v>
      </c>
      <c r="E77" s="10" t="s">
        <v>909</v>
      </c>
      <c r="F77" s="11" t="s">
        <v>910</v>
      </c>
      <c r="G77" s="11" t="s">
        <v>911</v>
      </c>
      <c r="H77" s="11" t="s">
        <v>912</v>
      </c>
      <c r="I77" s="10" t="s">
        <v>913</v>
      </c>
      <c r="J77" s="12" t="s">
        <v>914</v>
      </c>
      <c r="K77" s="13" t="s">
        <v>915</v>
      </c>
      <c r="L77" s="11">
        <f t="shared" ref="L77:M77" si="67">A77</f>
        <v>75</v>
      </c>
      <c r="M77" s="11" t="str">
        <f t="shared" si="67"/>
        <v>Lenda1 Tema75</v>
      </c>
      <c r="N77" s="11" t="s">
        <v>916</v>
      </c>
      <c r="O77" s="11" t="s">
        <v>26</v>
      </c>
      <c r="P77" s="12" t="s">
        <v>917</v>
      </c>
      <c r="Q77" s="16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38.25" customHeight="1">
      <c r="A78" s="7">
        <v>76.0</v>
      </c>
      <c r="B78" s="8" t="s">
        <v>918</v>
      </c>
      <c r="C78" s="9" t="s">
        <v>919</v>
      </c>
      <c r="D78" s="10" t="s">
        <v>920</v>
      </c>
      <c r="E78" s="10" t="s">
        <v>921</v>
      </c>
      <c r="F78" s="11" t="s">
        <v>922</v>
      </c>
      <c r="G78" s="11" t="s">
        <v>923</v>
      </c>
      <c r="H78" s="11" t="s">
        <v>924</v>
      </c>
      <c r="I78" s="10" t="s">
        <v>925</v>
      </c>
      <c r="J78" s="12" t="s">
        <v>926</v>
      </c>
      <c r="K78" s="13" t="s">
        <v>927</v>
      </c>
      <c r="L78" s="11">
        <f t="shared" ref="L78:M78" si="68">A78</f>
        <v>76</v>
      </c>
      <c r="M78" s="11" t="str">
        <f t="shared" si="68"/>
        <v>Lenda1 Tema76</v>
      </c>
      <c r="N78" s="11" t="s">
        <v>928</v>
      </c>
      <c r="O78" s="11" t="s">
        <v>26</v>
      </c>
      <c r="P78" s="12" t="s">
        <v>929</v>
      </c>
      <c r="Q78" s="14">
        <v>26.0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38.25" customHeight="1">
      <c r="A79" s="7">
        <v>77.0</v>
      </c>
      <c r="B79" s="8" t="s">
        <v>930</v>
      </c>
      <c r="C79" s="9" t="s">
        <v>931</v>
      </c>
      <c r="D79" s="10" t="s">
        <v>932</v>
      </c>
      <c r="E79" s="10" t="s">
        <v>933</v>
      </c>
      <c r="F79" s="11" t="s">
        <v>934</v>
      </c>
      <c r="G79" s="11" t="s">
        <v>935</v>
      </c>
      <c r="H79" s="11" t="s">
        <v>936</v>
      </c>
      <c r="I79" s="10" t="s">
        <v>937</v>
      </c>
      <c r="J79" s="12" t="s">
        <v>938</v>
      </c>
      <c r="K79" s="13" t="s">
        <v>939</v>
      </c>
      <c r="L79" s="11">
        <f t="shared" ref="L79:M79" si="69">A79</f>
        <v>77</v>
      </c>
      <c r="M79" s="11" t="str">
        <f t="shared" si="69"/>
        <v>Lenda1 Tema77</v>
      </c>
      <c r="N79" s="11" t="s">
        <v>940</v>
      </c>
      <c r="O79" s="11" t="s">
        <v>26</v>
      </c>
      <c r="P79" s="12" t="s">
        <v>941</v>
      </c>
      <c r="Q79" s="15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38.25" customHeight="1">
      <c r="A80" s="7">
        <v>78.0</v>
      </c>
      <c r="B80" s="8" t="s">
        <v>942</v>
      </c>
      <c r="C80" s="9" t="s">
        <v>943</v>
      </c>
      <c r="D80" s="10" t="s">
        <v>944</v>
      </c>
      <c r="E80" s="10" t="s">
        <v>945</v>
      </c>
      <c r="F80" s="11" t="s">
        <v>946</v>
      </c>
      <c r="G80" s="11" t="s">
        <v>947</v>
      </c>
      <c r="H80" s="11" t="s">
        <v>948</v>
      </c>
      <c r="I80" s="10" t="s">
        <v>949</v>
      </c>
      <c r="J80" s="12" t="s">
        <v>950</v>
      </c>
      <c r="K80" s="13" t="s">
        <v>951</v>
      </c>
      <c r="L80" s="11">
        <f t="shared" ref="L80:M80" si="70">A80</f>
        <v>78</v>
      </c>
      <c r="M80" s="11" t="str">
        <f t="shared" si="70"/>
        <v>Lenda1 Tema78</v>
      </c>
      <c r="N80" s="11" t="s">
        <v>952</v>
      </c>
      <c r="O80" s="11" t="s">
        <v>26</v>
      </c>
      <c r="P80" s="12" t="s">
        <v>953</v>
      </c>
      <c r="Q80" s="16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38.25" customHeight="1">
      <c r="A81" s="7">
        <v>79.0</v>
      </c>
      <c r="B81" s="8" t="s">
        <v>954</v>
      </c>
      <c r="C81" s="9" t="s">
        <v>955</v>
      </c>
      <c r="D81" s="10" t="s">
        <v>956</v>
      </c>
      <c r="E81" s="10" t="s">
        <v>957</v>
      </c>
      <c r="F81" s="11" t="s">
        <v>958</v>
      </c>
      <c r="G81" s="11" t="s">
        <v>959</v>
      </c>
      <c r="H81" s="11" t="s">
        <v>960</v>
      </c>
      <c r="I81" s="10" t="s">
        <v>961</v>
      </c>
      <c r="J81" s="12" t="s">
        <v>962</v>
      </c>
      <c r="K81" s="13" t="s">
        <v>963</v>
      </c>
      <c r="L81" s="11">
        <f t="shared" ref="L81:M81" si="71">A81</f>
        <v>79</v>
      </c>
      <c r="M81" s="11" t="str">
        <f t="shared" si="71"/>
        <v>Lenda1 Tema79</v>
      </c>
      <c r="N81" s="11" t="s">
        <v>964</v>
      </c>
      <c r="O81" s="11" t="s">
        <v>26</v>
      </c>
      <c r="P81" s="12" t="s">
        <v>965</v>
      </c>
      <c r="Q81" s="14">
        <v>27.0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38.25" customHeight="1">
      <c r="A82" s="7">
        <v>80.0</v>
      </c>
      <c r="B82" s="8" t="s">
        <v>966</v>
      </c>
      <c r="C82" s="9" t="s">
        <v>967</v>
      </c>
      <c r="D82" s="10" t="s">
        <v>968</v>
      </c>
      <c r="E82" s="10" t="s">
        <v>969</v>
      </c>
      <c r="F82" s="11" t="s">
        <v>970</v>
      </c>
      <c r="G82" s="11" t="s">
        <v>971</v>
      </c>
      <c r="H82" s="11" t="s">
        <v>972</v>
      </c>
      <c r="I82" s="10" t="s">
        <v>973</v>
      </c>
      <c r="J82" s="12" t="s">
        <v>974</v>
      </c>
      <c r="K82" s="13" t="s">
        <v>975</v>
      </c>
      <c r="L82" s="11">
        <f t="shared" ref="L82:M82" si="72">A82</f>
        <v>80</v>
      </c>
      <c r="M82" s="11" t="str">
        <f t="shared" si="72"/>
        <v>Lenda1 Tema80</v>
      </c>
      <c r="N82" s="11" t="s">
        <v>976</v>
      </c>
      <c r="O82" s="11" t="s">
        <v>26</v>
      </c>
      <c r="P82" s="12" t="s">
        <v>977</v>
      </c>
      <c r="Q82" s="15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25.5" customHeight="1">
      <c r="A83" s="7">
        <v>81.0</v>
      </c>
      <c r="B83" s="8" t="s">
        <v>978</v>
      </c>
      <c r="C83" s="9" t="s">
        <v>979</v>
      </c>
      <c r="D83" s="10" t="s">
        <v>980</v>
      </c>
      <c r="E83" s="10" t="s">
        <v>981</v>
      </c>
      <c r="F83" s="11" t="s">
        <v>982</v>
      </c>
      <c r="G83" s="11" t="s">
        <v>983</v>
      </c>
      <c r="H83" s="11" t="s">
        <v>984</v>
      </c>
      <c r="I83" s="10" t="s">
        <v>985</v>
      </c>
      <c r="J83" s="12" t="s">
        <v>986</v>
      </c>
      <c r="K83" s="13" t="s">
        <v>987</v>
      </c>
      <c r="L83" s="11">
        <f t="shared" ref="L83:M83" si="73">A83</f>
        <v>81</v>
      </c>
      <c r="M83" s="11" t="str">
        <f t="shared" si="73"/>
        <v>Lenda1 Tema81</v>
      </c>
      <c r="N83" s="11" t="s">
        <v>988</v>
      </c>
      <c r="O83" s="11" t="s">
        <v>26</v>
      </c>
      <c r="P83" s="12" t="s">
        <v>989</v>
      </c>
      <c r="Q83" s="16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38.25" customHeight="1">
      <c r="A84" s="7">
        <v>82.0</v>
      </c>
      <c r="B84" s="8" t="s">
        <v>990</v>
      </c>
      <c r="C84" s="9" t="s">
        <v>991</v>
      </c>
      <c r="D84" s="10" t="s">
        <v>992</v>
      </c>
      <c r="E84" s="10" t="s">
        <v>993</v>
      </c>
      <c r="F84" s="11" t="s">
        <v>994</v>
      </c>
      <c r="G84" s="11" t="s">
        <v>995</v>
      </c>
      <c r="H84" s="11" t="s">
        <v>996</v>
      </c>
      <c r="I84" s="10" t="s">
        <v>997</v>
      </c>
      <c r="J84" s="12" t="s">
        <v>998</v>
      </c>
      <c r="K84" s="13" t="s">
        <v>999</v>
      </c>
      <c r="L84" s="11">
        <f t="shared" ref="L84:M84" si="74">A84</f>
        <v>82</v>
      </c>
      <c r="M84" s="11" t="str">
        <f t="shared" si="74"/>
        <v>Lenda1 Tema82</v>
      </c>
      <c r="N84" s="11" t="s">
        <v>1000</v>
      </c>
      <c r="O84" s="11" t="s">
        <v>26</v>
      </c>
      <c r="P84" s="12" t="s">
        <v>1001</v>
      </c>
      <c r="Q84" s="14">
        <v>28.0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38.25" customHeight="1">
      <c r="A85" s="7">
        <v>83.0</v>
      </c>
      <c r="B85" s="8" t="s">
        <v>1002</v>
      </c>
      <c r="C85" s="9" t="s">
        <v>1003</v>
      </c>
      <c r="D85" s="10" t="s">
        <v>1004</v>
      </c>
      <c r="E85" s="10" t="s">
        <v>1005</v>
      </c>
      <c r="F85" s="11" t="s">
        <v>1006</v>
      </c>
      <c r="G85" s="11" t="s">
        <v>1007</v>
      </c>
      <c r="H85" s="11" t="s">
        <v>1008</v>
      </c>
      <c r="I85" s="10" t="s">
        <v>1009</v>
      </c>
      <c r="J85" s="12" t="s">
        <v>1010</v>
      </c>
      <c r="K85" s="13" t="s">
        <v>1011</v>
      </c>
      <c r="L85" s="11">
        <f t="shared" ref="L85:M85" si="75">A85</f>
        <v>83</v>
      </c>
      <c r="M85" s="11" t="str">
        <f t="shared" si="75"/>
        <v>Lenda1 Tema83</v>
      </c>
      <c r="N85" s="11" t="s">
        <v>1012</v>
      </c>
      <c r="O85" s="11" t="s">
        <v>26</v>
      </c>
      <c r="P85" s="12" t="s">
        <v>1013</v>
      </c>
      <c r="Q85" s="15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38.25" customHeight="1">
      <c r="A86" s="7">
        <v>84.0</v>
      </c>
      <c r="B86" s="8" t="s">
        <v>1014</v>
      </c>
      <c r="C86" s="9" t="s">
        <v>1015</v>
      </c>
      <c r="D86" s="10" t="s">
        <v>1016</v>
      </c>
      <c r="E86" s="10" t="s">
        <v>1017</v>
      </c>
      <c r="F86" s="11" t="s">
        <v>1018</v>
      </c>
      <c r="G86" s="11" t="s">
        <v>1019</v>
      </c>
      <c r="H86" s="11" t="s">
        <v>1020</v>
      </c>
      <c r="I86" s="10" t="s">
        <v>1021</v>
      </c>
      <c r="J86" s="12" t="s">
        <v>1022</v>
      </c>
      <c r="K86" s="13" t="s">
        <v>1023</v>
      </c>
      <c r="L86" s="11">
        <f t="shared" ref="L86:M86" si="76">A86</f>
        <v>84</v>
      </c>
      <c r="M86" s="11" t="str">
        <f t="shared" si="76"/>
        <v>Lenda1 Tema84</v>
      </c>
      <c r="N86" s="11" t="s">
        <v>1024</v>
      </c>
      <c r="O86" s="11" t="s">
        <v>26</v>
      </c>
      <c r="P86" s="12" t="s">
        <v>1025</v>
      </c>
      <c r="Q86" s="16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38.25" customHeight="1">
      <c r="A87" s="7">
        <v>85.0</v>
      </c>
      <c r="B87" s="8" t="s">
        <v>1026</v>
      </c>
      <c r="C87" s="9" t="s">
        <v>1027</v>
      </c>
      <c r="D87" s="10" t="s">
        <v>1028</v>
      </c>
      <c r="E87" s="10" t="s">
        <v>1029</v>
      </c>
      <c r="F87" s="11" t="s">
        <v>1030</v>
      </c>
      <c r="G87" s="11" t="s">
        <v>1031</v>
      </c>
      <c r="H87" s="11" t="s">
        <v>1032</v>
      </c>
      <c r="I87" s="10" t="s">
        <v>1033</v>
      </c>
      <c r="J87" s="12" t="s">
        <v>1034</v>
      </c>
      <c r="K87" s="13" t="s">
        <v>1035</v>
      </c>
      <c r="L87" s="11">
        <f t="shared" ref="L87:M87" si="77">A87</f>
        <v>85</v>
      </c>
      <c r="M87" s="11" t="str">
        <f t="shared" si="77"/>
        <v>Lenda1 Tema85</v>
      </c>
      <c r="N87" s="11" t="s">
        <v>1036</v>
      </c>
      <c r="O87" s="11" t="s">
        <v>26</v>
      </c>
      <c r="P87" s="12" t="s">
        <v>1037</v>
      </c>
      <c r="Q87" s="14">
        <v>29.0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38.25" customHeight="1">
      <c r="A88" s="7">
        <v>86.0</v>
      </c>
      <c r="B88" s="8" t="s">
        <v>1038</v>
      </c>
      <c r="C88" s="9" t="s">
        <v>1039</v>
      </c>
      <c r="D88" s="10" t="s">
        <v>1040</v>
      </c>
      <c r="E88" s="10" t="s">
        <v>1041</v>
      </c>
      <c r="F88" s="11" t="s">
        <v>1042</v>
      </c>
      <c r="G88" s="11" t="s">
        <v>1043</v>
      </c>
      <c r="H88" s="11" t="s">
        <v>1044</v>
      </c>
      <c r="I88" s="10" t="s">
        <v>1045</v>
      </c>
      <c r="J88" s="12" t="s">
        <v>1046</v>
      </c>
      <c r="K88" s="13" t="s">
        <v>1047</v>
      </c>
      <c r="L88" s="11">
        <f t="shared" ref="L88:M88" si="78">A88</f>
        <v>86</v>
      </c>
      <c r="M88" s="11" t="str">
        <f t="shared" si="78"/>
        <v>Lenda1 Tema86</v>
      </c>
      <c r="N88" s="11" t="s">
        <v>1048</v>
      </c>
      <c r="O88" s="11" t="s">
        <v>26</v>
      </c>
      <c r="P88" s="12" t="s">
        <v>1049</v>
      </c>
      <c r="Q88" s="15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38.25" customHeight="1">
      <c r="A89" s="7">
        <v>87.0</v>
      </c>
      <c r="B89" s="8" t="s">
        <v>1050</v>
      </c>
      <c r="C89" s="9" t="s">
        <v>1051</v>
      </c>
      <c r="D89" s="10" t="s">
        <v>1052</v>
      </c>
      <c r="E89" s="10" t="s">
        <v>1053</v>
      </c>
      <c r="F89" s="11" t="s">
        <v>1054</v>
      </c>
      <c r="G89" s="11" t="s">
        <v>1055</v>
      </c>
      <c r="H89" s="11" t="s">
        <v>1056</v>
      </c>
      <c r="I89" s="10" t="s">
        <v>1057</v>
      </c>
      <c r="J89" s="12" t="s">
        <v>1058</v>
      </c>
      <c r="K89" s="13" t="s">
        <v>1059</v>
      </c>
      <c r="L89" s="11">
        <f t="shared" ref="L89:M89" si="79">A89</f>
        <v>87</v>
      </c>
      <c r="M89" s="11" t="str">
        <f t="shared" si="79"/>
        <v>Lenda1 Tema87</v>
      </c>
      <c r="N89" s="11" t="s">
        <v>1060</v>
      </c>
      <c r="O89" s="11" t="s">
        <v>26</v>
      </c>
      <c r="P89" s="12" t="s">
        <v>1061</v>
      </c>
      <c r="Q89" s="16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38.25" customHeight="1">
      <c r="A90" s="7">
        <v>88.0</v>
      </c>
      <c r="B90" s="8" t="s">
        <v>1062</v>
      </c>
      <c r="C90" s="9" t="s">
        <v>1063</v>
      </c>
      <c r="D90" s="10" t="s">
        <v>1064</v>
      </c>
      <c r="E90" s="10" t="s">
        <v>1065</v>
      </c>
      <c r="F90" s="11" t="s">
        <v>1066</v>
      </c>
      <c r="G90" s="11" t="s">
        <v>1067</v>
      </c>
      <c r="H90" s="11" t="s">
        <v>1068</v>
      </c>
      <c r="I90" s="10" t="s">
        <v>1069</v>
      </c>
      <c r="J90" s="12" t="s">
        <v>1070</v>
      </c>
      <c r="K90" s="13" t="s">
        <v>1071</v>
      </c>
      <c r="L90" s="11">
        <f t="shared" ref="L90:M90" si="80">A90</f>
        <v>88</v>
      </c>
      <c r="M90" s="11" t="str">
        <f t="shared" si="80"/>
        <v>Lenda1 Tema88</v>
      </c>
      <c r="N90" s="11" t="s">
        <v>1072</v>
      </c>
      <c r="O90" s="11" t="s">
        <v>26</v>
      </c>
      <c r="P90" s="12" t="s">
        <v>1073</v>
      </c>
      <c r="Q90" s="14">
        <v>30.0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38.25" customHeight="1">
      <c r="A91" s="7">
        <v>89.0</v>
      </c>
      <c r="B91" s="8" t="s">
        <v>1074</v>
      </c>
      <c r="C91" s="9" t="s">
        <v>1075</v>
      </c>
      <c r="D91" s="10" t="s">
        <v>1076</v>
      </c>
      <c r="E91" s="10" t="s">
        <v>1077</v>
      </c>
      <c r="F91" s="11" t="s">
        <v>1078</v>
      </c>
      <c r="G91" s="11" t="s">
        <v>1079</v>
      </c>
      <c r="H91" s="11" t="s">
        <v>1080</v>
      </c>
      <c r="I91" s="10" t="s">
        <v>1081</v>
      </c>
      <c r="J91" s="12" t="s">
        <v>1082</v>
      </c>
      <c r="K91" s="13" t="s">
        <v>1083</v>
      </c>
      <c r="L91" s="11">
        <f t="shared" ref="L91:M91" si="81">A91</f>
        <v>89</v>
      </c>
      <c r="M91" s="11" t="str">
        <f t="shared" si="81"/>
        <v>Lenda1 Tema89</v>
      </c>
      <c r="N91" s="11" t="s">
        <v>1084</v>
      </c>
      <c r="O91" s="11" t="s">
        <v>26</v>
      </c>
      <c r="P91" s="12" t="s">
        <v>1085</v>
      </c>
      <c r="Q91" s="15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38.25" customHeight="1">
      <c r="A92" s="7">
        <v>90.0</v>
      </c>
      <c r="B92" s="8" t="s">
        <v>1086</v>
      </c>
      <c r="C92" s="9" t="s">
        <v>1087</v>
      </c>
      <c r="D92" s="10" t="s">
        <v>1088</v>
      </c>
      <c r="E92" s="10" t="s">
        <v>1089</v>
      </c>
      <c r="F92" s="11" t="s">
        <v>1090</v>
      </c>
      <c r="G92" s="11" t="s">
        <v>1091</v>
      </c>
      <c r="H92" s="11" t="s">
        <v>1092</v>
      </c>
      <c r="I92" s="10" t="s">
        <v>1093</v>
      </c>
      <c r="J92" s="12" t="s">
        <v>1094</v>
      </c>
      <c r="K92" s="13" t="s">
        <v>1095</v>
      </c>
      <c r="L92" s="11">
        <f t="shared" ref="L92:M92" si="82">A92</f>
        <v>90</v>
      </c>
      <c r="M92" s="11" t="str">
        <f t="shared" si="82"/>
        <v>Lenda1 Tema90</v>
      </c>
      <c r="N92" s="11" t="s">
        <v>1096</v>
      </c>
      <c r="O92" s="11" t="s">
        <v>26</v>
      </c>
      <c r="P92" s="12" t="s">
        <v>1097</v>
      </c>
      <c r="Q92" s="16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38.25" customHeight="1">
      <c r="A93" s="7">
        <v>91.0</v>
      </c>
      <c r="B93" s="8" t="s">
        <v>1098</v>
      </c>
      <c r="C93" s="9" t="s">
        <v>1099</v>
      </c>
      <c r="D93" s="10" t="s">
        <v>1100</v>
      </c>
      <c r="E93" s="10" t="s">
        <v>1101</v>
      </c>
      <c r="F93" s="11" t="s">
        <v>1102</v>
      </c>
      <c r="G93" s="11" t="s">
        <v>1103</v>
      </c>
      <c r="H93" s="11" t="s">
        <v>1104</v>
      </c>
      <c r="I93" s="10" t="s">
        <v>1105</v>
      </c>
      <c r="J93" s="12" t="s">
        <v>1106</v>
      </c>
      <c r="K93" s="13" t="s">
        <v>1107</v>
      </c>
      <c r="L93" s="11">
        <f t="shared" ref="L93:M93" si="83">A93</f>
        <v>91</v>
      </c>
      <c r="M93" s="11" t="str">
        <f t="shared" si="83"/>
        <v>Lenda1 Tema91</v>
      </c>
      <c r="N93" s="11" t="s">
        <v>1108</v>
      </c>
      <c r="O93" s="11" t="s">
        <v>26</v>
      </c>
      <c r="P93" s="12" t="s">
        <v>1109</v>
      </c>
      <c r="Q93" s="14">
        <v>31.0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38.25" customHeight="1">
      <c r="A94" s="7">
        <v>92.0</v>
      </c>
      <c r="B94" s="8" t="s">
        <v>1110</v>
      </c>
      <c r="C94" s="9" t="s">
        <v>1111</v>
      </c>
      <c r="D94" s="10" t="s">
        <v>1112</v>
      </c>
      <c r="E94" s="10" t="s">
        <v>1113</v>
      </c>
      <c r="F94" s="11" t="s">
        <v>1114</v>
      </c>
      <c r="G94" s="11" t="s">
        <v>1115</v>
      </c>
      <c r="H94" s="11" t="s">
        <v>1116</v>
      </c>
      <c r="I94" s="10" t="s">
        <v>1117</v>
      </c>
      <c r="J94" s="12" t="s">
        <v>1118</v>
      </c>
      <c r="K94" s="13" t="s">
        <v>1119</v>
      </c>
      <c r="L94" s="11">
        <f t="shared" ref="L94:M94" si="84">A94</f>
        <v>92</v>
      </c>
      <c r="M94" s="11" t="str">
        <f t="shared" si="84"/>
        <v>Lenda1 Tema92</v>
      </c>
      <c r="N94" s="11" t="s">
        <v>1120</v>
      </c>
      <c r="O94" s="11" t="s">
        <v>26</v>
      </c>
      <c r="P94" s="12" t="s">
        <v>1121</v>
      </c>
      <c r="Q94" s="15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38.25" customHeight="1">
      <c r="A95" s="7">
        <v>93.0</v>
      </c>
      <c r="B95" s="8" t="s">
        <v>1122</v>
      </c>
      <c r="C95" s="9" t="s">
        <v>1123</v>
      </c>
      <c r="D95" s="10" t="s">
        <v>1124</v>
      </c>
      <c r="E95" s="10" t="s">
        <v>1125</v>
      </c>
      <c r="F95" s="11" t="s">
        <v>1126</v>
      </c>
      <c r="G95" s="11" t="s">
        <v>1127</v>
      </c>
      <c r="H95" s="11" t="s">
        <v>1128</v>
      </c>
      <c r="I95" s="10" t="s">
        <v>1129</v>
      </c>
      <c r="J95" s="12" t="s">
        <v>1130</v>
      </c>
      <c r="K95" s="13" t="s">
        <v>1131</v>
      </c>
      <c r="L95" s="11">
        <f t="shared" ref="L95:M95" si="85">A95</f>
        <v>93</v>
      </c>
      <c r="M95" s="11" t="str">
        <f t="shared" si="85"/>
        <v>Lenda1 Tema93</v>
      </c>
      <c r="N95" s="11" t="s">
        <v>1132</v>
      </c>
      <c r="O95" s="11" t="s">
        <v>26</v>
      </c>
      <c r="P95" s="12" t="s">
        <v>1133</v>
      </c>
      <c r="Q95" s="16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38.25" customHeight="1">
      <c r="A96" s="7">
        <v>94.0</v>
      </c>
      <c r="B96" s="8" t="s">
        <v>1134</v>
      </c>
      <c r="C96" s="9" t="s">
        <v>1135</v>
      </c>
      <c r="D96" s="10" t="s">
        <v>1136</v>
      </c>
      <c r="E96" s="10" t="s">
        <v>1137</v>
      </c>
      <c r="F96" s="11" t="s">
        <v>1138</v>
      </c>
      <c r="G96" s="11" t="s">
        <v>1139</v>
      </c>
      <c r="H96" s="11" t="s">
        <v>1140</v>
      </c>
      <c r="I96" s="10" t="s">
        <v>1141</v>
      </c>
      <c r="J96" s="12" t="s">
        <v>1142</v>
      </c>
      <c r="K96" s="13" t="s">
        <v>1143</v>
      </c>
      <c r="L96" s="11">
        <f t="shared" ref="L96:M96" si="86">A96</f>
        <v>94</v>
      </c>
      <c r="M96" s="11" t="str">
        <f t="shared" si="86"/>
        <v>Lenda1 Tema94</v>
      </c>
      <c r="N96" s="11" t="s">
        <v>1144</v>
      </c>
      <c r="O96" s="11" t="s">
        <v>26</v>
      </c>
      <c r="P96" s="12" t="s">
        <v>1145</v>
      </c>
      <c r="Q96" s="14">
        <v>32.0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38.25" customHeight="1">
      <c r="A97" s="7">
        <v>95.0</v>
      </c>
      <c r="B97" s="8" t="s">
        <v>1146</v>
      </c>
      <c r="C97" s="9" t="s">
        <v>1147</v>
      </c>
      <c r="D97" s="10" t="s">
        <v>1148</v>
      </c>
      <c r="E97" s="10" t="s">
        <v>1149</v>
      </c>
      <c r="F97" s="11" t="s">
        <v>1150</v>
      </c>
      <c r="G97" s="11" t="s">
        <v>1151</v>
      </c>
      <c r="H97" s="11" t="s">
        <v>1152</v>
      </c>
      <c r="I97" s="10" t="s">
        <v>1153</v>
      </c>
      <c r="J97" s="12" t="s">
        <v>1154</v>
      </c>
      <c r="K97" s="13" t="s">
        <v>1155</v>
      </c>
      <c r="L97" s="11">
        <f t="shared" ref="L97:M97" si="87">A97</f>
        <v>95</v>
      </c>
      <c r="M97" s="11" t="str">
        <f t="shared" si="87"/>
        <v>Lenda1 Tema95</v>
      </c>
      <c r="N97" s="11" t="s">
        <v>1156</v>
      </c>
      <c r="O97" s="11" t="s">
        <v>26</v>
      </c>
      <c r="P97" s="12" t="s">
        <v>1157</v>
      </c>
      <c r="Q97" s="15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38.25" customHeight="1">
      <c r="A98" s="7">
        <v>96.0</v>
      </c>
      <c r="B98" s="8" t="s">
        <v>1158</v>
      </c>
      <c r="C98" s="9" t="s">
        <v>1159</v>
      </c>
      <c r="D98" s="10" t="s">
        <v>1160</v>
      </c>
      <c r="E98" s="10" t="s">
        <v>1161</v>
      </c>
      <c r="F98" s="11" t="s">
        <v>1162</v>
      </c>
      <c r="G98" s="11" t="s">
        <v>1163</v>
      </c>
      <c r="H98" s="11" t="s">
        <v>1164</v>
      </c>
      <c r="I98" s="10" t="s">
        <v>1165</v>
      </c>
      <c r="J98" s="12" t="s">
        <v>1166</v>
      </c>
      <c r="K98" s="13" t="s">
        <v>1167</v>
      </c>
      <c r="L98" s="11">
        <f t="shared" ref="L98:M98" si="88">A98</f>
        <v>96</v>
      </c>
      <c r="M98" s="11" t="str">
        <f t="shared" si="88"/>
        <v>Lenda1 Tema96</v>
      </c>
      <c r="N98" s="11" t="s">
        <v>1168</v>
      </c>
      <c r="O98" s="11" t="s">
        <v>26</v>
      </c>
      <c r="P98" s="12" t="s">
        <v>1169</v>
      </c>
      <c r="Q98" s="16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38.25" customHeight="1">
      <c r="A99" s="7">
        <v>97.0</v>
      </c>
      <c r="B99" s="8" t="s">
        <v>1170</v>
      </c>
      <c r="C99" s="9" t="s">
        <v>1171</v>
      </c>
      <c r="D99" s="10" t="s">
        <v>1172</v>
      </c>
      <c r="E99" s="10" t="s">
        <v>1173</v>
      </c>
      <c r="F99" s="11" t="s">
        <v>1174</v>
      </c>
      <c r="G99" s="11" t="s">
        <v>1175</v>
      </c>
      <c r="H99" s="11" t="s">
        <v>1176</v>
      </c>
      <c r="I99" s="10" t="s">
        <v>1177</v>
      </c>
      <c r="J99" s="12" t="s">
        <v>1178</v>
      </c>
      <c r="K99" s="13" t="s">
        <v>1179</v>
      </c>
      <c r="L99" s="11">
        <f t="shared" ref="L99:M99" si="89">A99</f>
        <v>97</v>
      </c>
      <c r="M99" s="11" t="str">
        <f t="shared" si="89"/>
        <v>Lenda1 Tema97</v>
      </c>
      <c r="N99" s="11" t="s">
        <v>1180</v>
      </c>
      <c r="O99" s="11" t="s">
        <v>26</v>
      </c>
      <c r="P99" s="12" t="s">
        <v>1181</v>
      </c>
      <c r="Q99" s="14">
        <v>33.0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38.25" customHeight="1">
      <c r="A100" s="7">
        <v>98.0</v>
      </c>
      <c r="B100" s="8" t="s">
        <v>1182</v>
      </c>
      <c r="C100" s="9" t="s">
        <v>1183</v>
      </c>
      <c r="D100" s="10" t="s">
        <v>1184</v>
      </c>
      <c r="E100" s="10" t="s">
        <v>1185</v>
      </c>
      <c r="F100" s="11" t="s">
        <v>1186</v>
      </c>
      <c r="G100" s="11" t="s">
        <v>1187</v>
      </c>
      <c r="H100" s="11" t="s">
        <v>1188</v>
      </c>
      <c r="I100" s="10" t="s">
        <v>1189</v>
      </c>
      <c r="J100" s="12" t="s">
        <v>1190</v>
      </c>
      <c r="K100" s="13" t="s">
        <v>1191</v>
      </c>
      <c r="L100" s="11">
        <f t="shared" ref="L100:M100" si="90">A100</f>
        <v>98</v>
      </c>
      <c r="M100" s="11" t="str">
        <f t="shared" si="90"/>
        <v>Lenda1 Tema98</v>
      </c>
      <c r="N100" s="11" t="s">
        <v>1192</v>
      </c>
      <c r="O100" s="11" t="s">
        <v>26</v>
      </c>
      <c r="P100" s="12" t="s">
        <v>1193</v>
      </c>
      <c r="Q100" s="15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38.25" customHeight="1">
      <c r="A101" s="7">
        <v>99.0</v>
      </c>
      <c r="B101" s="8" t="s">
        <v>1194</v>
      </c>
      <c r="C101" s="9" t="s">
        <v>1195</v>
      </c>
      <c r="D101" s="10" t="s">
        <v>1196</v>
      </c>
      <c r="E101" s="10" t="s">
        <v>1197</v>
      </c>
      <c r="F101" s="11" t="s">
        <v>1198</v>
      </c>
      <c r="G101" s="11" t="s">
        <v>1199</v>
      </c>
      <c r="H101" s="11" t="s">
        <v>1200</v>
      </c>
      <c r="I101" s="10" t="s">
        <v>1201</v>
      </c>
      <c r="J101" s="12" t="s">
        <v>1202</v>
      </c>
      <c r="K101" s="13" t="s">
        <v>1203</v>
      </c>
      <c r="L101" s="11">
        <f t="shared" ref="L101:M101" si="91">A101</f>
        <v>99</v>
      </c>
      <c r="M101" s="11" t="str">
        <f t="shared" si="91"/>
        <v>Lenda1 Tema99</v>
      </c>
      <c r="N101" s="11" t="s">
        <v>1204</v>
      </c>
      <c r="O101" s="11" t="s">
        <v>26</v>
      </c>
      <c r="P101" s="12" t="s">
        <v>1205</v>
      </c>
      <c r="Q101" s="16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38.25" customHeight="1">
      <c r="A102" s="7">
        <v>100.0</v>
      </c>
      <c r="B102" s="8" t="s">
        <v>1206</v>
      </c>
      <c r="C102" s="9" t="s">
        <v>1207</v>
      </c>
      <c r="D102" s="10" t="s">
        <v>1208</v>
      </c>
      <c r="E102" s="10" t="s">
        <v>1209</v>
      </c>
      <c r="F102" s="11" t="s">
        <v>1210</v>
      </c>
      <c r="G102" s="11" t="s">
        <v>1211</v>
      </c>
      <c r="H102" s="11" t="s">
        <v>1212</v>
      </c>
      <c r="I102" s="10" t="s">
        <v>1213</v>
      </c>
      <c r="J102" s="12" t="s">
        <v>1214</v>
      </c>
      <c r="K102" s="13" t="s">
        <v>1215</v>
      </c>
      <c r="L102" s="11">
        <f t="shared" ref="L102:M102" si="92">A102</f>
        <v>100</v>
      </c>
      <c r="M102" s="11" t="str">
        <f t="shared" si="92"/>
        <v>Lenda1 Tema100</v>
      </c>
      <c r="N102" s="11" t="s">
        <v>1216</v>
      </c>
      <c r="O102" s="11" t="s">
        <v>26</v>
      </c>
      <c r="P102" s="12" t="s">
        <v>1217</v>
      </c>
      <c r="Q102" s="14">
        <v>34.0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38.25" customHeight="1">
      <c r="A103" s="7">
        <v>101.0</v>
      </c>
      <c r="B103" s="8" t="s">
        <v>1218</v>
      </c>
      <c r="C103" s="9" t="s">
        <v>1219</v>
      </c>
      <c r="D103" s="10" t="s">
        <v>1220</v>
      </c>
      <c r="E103" s="10" t="s">
        <v>1221</v>
      </c>
      <c r="F103" s="11" t="s">
        <v>1222</v>
      </c>
      <c r="G103" s="11" t="s">
        <v>1223</v>
      </c>
      <c r="H103" s="11" t="s">
        <v>1224</v>
      </c>
      <c r="I103" s="10" t="s">
        <v>1225</v>
      </c>
      <c r="J103" s="12" t="s">
        <v>1226</v>
      </c>
      <c r="K103" s="13" t="s">
        <v>1227</v>
      </c>
      <c r="L103" s="11">
        <f t="shared" ref="L103:M103" si="93">A103</f>
        <v>101</v>
      </c>
      <c r="M103" s="11" t="str">
        <f t="shared" si="93"/>
        <v>Lenda1 Tema101</v>
      </c>
      <c r="N103" s="11" t="s">
        <v>1228</v>
      </c>
      <c r="O103" s="11" t="s">
        <v>26</v>
      </c>
      <c r="P103" s="12" t="s">
        <v>1229</v>
      </c>
      <c r="Q103" s="15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38.25" customHeight="1">
      <c r="A104" s="7">
        <v>102.0</v>
      </c>
      <c r="B104" s="8" t="s">
        <v>1230</v>
      </c>
      <c r="C104" s="9" t="s">
        <v>1231</v>
      </c>
      <c r="D104" s="10" t="s">
        <v>1232</v>
      </c>
      <c r="E104" s="10" t="s">
        <v>1233</v>
      </c>
      <c r="F104" s="11" t="s">
        <v>1234</v>
      </c>
      <c r="G104" s="11" t="s">
        <v>1235</v>
      </c>
      <c r="H104" s="11" t="s">
        <v>1236</v>
      </c>
      <c r="I104" s="10" t="s">
        <v>1237</v>
      </c>
      <c r="J104" s="12" t="s">
        <v>1238</v>
      </c>
      <c r="K104" s="13" t="s">
        <v>1239</v>
      </c>
      <c r="L104" s="11">
        <f t="shared" ref="L104:M104" si="94">A104</f>
        <v>102</v>
      </c>
      <c r="M104" s="11" t="str">
        <f t="shared" si="94"/>
        <v>Lenda1 Tema102</v>
      </c>
      <c r="N104" s="11" t="s">
        <v>1240</v>
      </c>
      <c r="O104" s="11" t="s">
        <v>26</v>
      </c>
      <c r="P104" s="12" t="s">
        <v>1241</v>
      </c>
      <c r="Q104" s="16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38.25" customHeight="1">
      <c r="A105" s="7">
        <v>103.0</v>
      </c>
      <c r="B105" s="8" t="s">
        <v>1242</v>
      </c>
      <c r="C105" s="9" t="s">
        <v>1243</v>
      </c>
      <c r="D105" s="10" t="s">
        <v>1244</v>
      </c>
      <c r="E105" s="10" t="s">
        <v>1245</v>
      </c>
      <c r="F105" s="11" t="s">
        <v>1246</v>
      </c>
      <c r="G105" s="11" t="s">
        <v>1247</v>
      </c>
      <c r="H105" s="11" t="s">
        <v>1248</v>
      </c>
      <c r="I105" s="10" t="s">
        <v>1249</v>
      </c>
      <c r="J105" s="12" t="s">
        <v>1250</v>
      </c>
      <c r="K105" s="13" t="s">
        <v>1251</v>
      </c>
      <c r="L105" s="11">
        <f t="shared" ref="L105:M105" si="95">A105</f>
        <v>103</v>
      </c>
      <c r="M105" s="11" t="str">
        <f t="shared" si="95"/>
        <v>Lenda1 Tema103</v>
      </c>
      <c r="N105" s="11" t="s">
        <v>1252</v>
      </c>
      <c r="O105" s="11" t="s">
        <v>26</v>
      </c>
      <c r="P105" s="12" t="s">
        <v>1253</v>
      </c>
      <c r="Q105" s="14">
        <v>35.0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38.25" customHeight="1">
      <c r="A106" s="7">
        <v>104.0</v>
      </c>
      <c r="B106" s="8" t="s">
        <v>1254</v>
      </c>
      <c r="C106" s="9" t="s">
        <v>1255</v>
      </c>
      <c r="D106" s="10" t="s">
        <v>1256</v>
      </c>
      <c r="E106" s="10" t="s">
        <v>1257</v>
      </c>
      <c r="F106" s="11" t="s">
        <v>1258</v>
      </c>
      <c r="G106" s="11" t="s">
        <v>1259</v>
      </c>
      <c r="H106" s="11" t="s">
        <v>1260</v>
      </c>
      <c r="I106" s="10" t="s">
        <v>1261</v>
      </c>
      <c r="J106" s="12" t="s">
        <v>1262</v>
      </c>
      <c r="K106" s="13" t="s">
        <v>1263</v>
      </c>
      <c r="L106" s="11">
        <f t="shared" ref="L106:M106" si="96">A106</f>
        <v>104</v>
      </c>
      <c r="M106" s="11" t="str">
        <f t="shared" si="96"/>
        <v>Lenda1 Tema104</v>
      </c>
      <c r="N106" s="11" t="s">
        <v>1264</v>
      </c>
      <c r="O106" s="11" t="s">
        <v>26</v>
      </c>
      <c r="P106" s="12" t="s">
        <v>1265</v>
      </c>
      <c r="Q106" s="15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38.25" customHeight="1">
      <c r="A107" s="7">
        <v>105.0</v>
      </c>
      <c r="B107" s="8" t="s">
        <v>1266</v>
      </c>
      <c r="C107" s="9" t="s">
        <v>1267</v>
      </c>
      <c r="D107" s="10" t="s">
        <v>1268</v>
      </c>
      <c r="E107" s="10" t="s">
        <v>1269</v>
      </c>
      <c r="F107" s="11" t="s">
        <v>1270</v>
      </c>
      <c r="G107" s="11" t="s">
        <v>1271</v>
      </c>
      <c r="H107" s="11" t="s">
        <v>1272</v>
      </c>
      <c r="I107" s="10" t="s">
        <v>1273</v>
      </c>
      <c r="J107" s="12" t="s">
        <v>1274</v>
      </c>
      <c r="K107" s="13" t="s">
        <v>1275</v>
      </c>
      <c r="L107" s="11">
        <f t="shared" ref="L107:M107" si="97">A107</f>
        <v>105</v>
      </c>
      <c r="M107" s="11" t="str">
        <f t="shared" si="97"/>
        <v>Lenda1 Tema105</v>
      </c>
      <c r="N107" s="11" t="s">
        <v>1276</v>
      </c>
      <c r="O107" s="11" t="s">
        <v>26</v>
      </c>
      <c r="P107" s="12" t="s">
        <v>1277</v>
      </c>
      <c r="Q107" s="16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38.25" customHeight="1">
      <c r="A108" s="7">
        <v>106.0</v>
      </c>
      <c r="B108" s="8" t="s">
        <v>1278</v>
      </c>
      <c r="C108" s="9" t="s">
        <v>1279</v>
      </c>
      <c r="D108" s="10" t="s">
        <v>1280</v>
      </c>
      <c r="E108" s="10" t="s">
        <v>1281</v>
      </c>
      <c r="F108" s="11" t="s">
        <v>1282</v>
      </c>
      <c r="G108" s="11" t="s">
        <v>1283</v>
      </c>
      <c r="H108" s="11" t="s">
        <v>1284</v>
      </c>
      <c r="I108" s="10" t="s">
        <v>1285</v>
      </c>
      <c r="J108" s="12" t="s">
        <v>1286</v>
      </c>
      <c r="K108" s="13" t="s">
        <v>1287</v>
      </c>
      <c r="L108" s="11">
        <f t="shared" ref="L108:M108" si="98">A108</f>
        <v>106</v>
      </c>
      <c r="M108" s="11" t="str">
        <f t="shared" si="98"/>
        <v>Lenda1 Tema106</v>
      </c>
      <c r="N108" s="11" t="s">
        <v>1288</v>
      </c>
      <c r="O108" s="11" t="s">
        <v>26</v>
      </c>
      <c r="P108" s="12" t="s">
        <v>1289</v>
      </c>
      <c r="Q108" s="14">
        <v>36.0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38.25" customHeight="1">
      <c r="A109" s="7">
        <v>107.0</v>
      </c>
      <c r="B109" s="8" t="s">
        <v>1290</v>
      </c>
      <c r="C109" s="9" t="s">
        <v>1291</v>
      </c>
      <c r="D109" s="10" t="s">
        <v>1292</v>
      </c>
      <c r="E109" s="10" t="s">
        <v>1293</v>
      </c>
      <c r="F109" s="11" t="s">
        <v>1294</v>
      </c>
      <c r="G109" s="11" t="s">
        <v>1295</v>
      </c>
      <c r="H109" s="11" t="s">
        <v>1296</v>
      </c>
      <c r="I109" s="10" t="s">
        <v>1297</v>
      </c>
      <c r="J109" s="12" t="s">
        <v>1298</v>
      </c>
      <c r="K109" s="13" t="s">
        <v>1299</v>
      </c>
      <c r="L109" s="11">
        <f t="shared" ref="L109:M109" si="99">A109</f>
        <v>107</v>
      </c>
      <c r="M109" s="11" t="str">
        <f t="shared" si="99"/>
        <v>Lenda1 Tema107</v>
      </c>
      <c r="N109" s="11" t="s">
        <v>1300</v>
      </c>
      <c r="O109" s="11" t="s">
        <v>26</v>
      </c>
      <c r="P109" s="12" t="s">
        <v>1301</v>
      </c>
      <c r="Q109" s="15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51.0" customHeight="1">
      <c r="A110" s="7">
        <v>108.0</v>
      </c>
      <c r="B110" s="8" t="s">
        <v>1302</v>
      </c>
      <c r="C110" s="9" t="s">
        <v>1303</v>
      </c>
      <c r="D110" s="10" t="s">
        <v>1304</v>
      </c>
      <c r="E110" s="10" t="s">
        <v>1305</v>
      </c>
      <c r="F110" s="11" t="s">
        <v>1306</v>
      </c>
      <c r="G110" s="11" t="s">
        <v>1307</v>
      </c>
      <c r="H110" s="11" t="s">
        <v>1308</v>
      </c>
      <c r="I110" s="10" t="s">
        <v>1309</v>
      </c>
      <c r="J110" s="12" t="s">
        <v>1310</v>
      </c>
      <c r="K110" s="13" t="s">
        <v>1311</v>
      </c>
      <c r="L110" s="11">
        <f t="shared" ref="L110:M110" si="100">A110</f>
        <v>108</v>
      </c>
      <c r="M110" s="11" t="str">
        <f t="shared" si="100"/>
        <v>Lenda1 Tema108</v>
      </c>
      <c r="N110" s="11" t="s">
        <v>1312</v>
      </c>
      <c r="O110" s="11" t="s">
        <v>26</v>
      </c>
      <c r="P110" s="12" t="s">
        <v>1313</v>
      </c>
      <c r="Q110" s="16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2.75" customHeight="1">
      <c r="A111" s="17"/>
      <c r="B111" s="18"/>
      <c r="C111" s="17"/>
      <c r="D111" s="17"/>
      <c r="E111" s="17"/>
      <c r="F111" s="17"/>
      <c r="G111" s="17"/>
      <c r="H111" s="1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2.75" customHeight="1">
      <c r="A112" s="2"/>
      <c r="B112" s="1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2.75" customHeight="1">
      <c r="A113" s="2"/>
      <c r="B113" s="1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</sheetData>
  <mergeCells count="36">
    <mergeCell ref="Q3:Q5"/>
    <mergeCell ref="Q6:Q8"/>
    <mergeCell ref="Q9:Q11"/>
    <mergeCell ref="Q12:Q14"/>
    <mergeCell ref="Q15:Q17"/>
    <mergeCell ref="Q18:Q20"/>
    <mergeCell ref="Q21:Q23"/>
    <mergeCell ref="Q24:Q26"/>
    <mergeCell ref="Q27:Q29"/>
    <mergeCell ref="Q30:Q32"/>
    <mergeCell ref="Q33:Q35"/>
    <mergeCell ref="Q36:Q38"/>
    <mergeCell ref="Q39:Q41"/>
    <mergeCell ref="Q42:Q44"/>
    <mergeCell ref="Q45:Q47"/>
    <mergeCell ref="Q48:Q50"/>
    <mergeCell ref="Q51:Q53"/>
    <mergeCell ref="Q54:Q56"/>
    <mergeCell ref="Q57:Q59"/>
    <mergeCell ref="Q60:Q62"/>
    <mergeCell ref="Q63:Q65"/>
    <mergeCell ref="Q87:Q89"/>
    <mergeCell ref="Q90:Q92"/>
    <mergeCell ref="Q93:Q95"/>
    <mergeCell ref="Q96:Q98"/>
    <mergeCell ref="Q99:Q101"/>
    <mergeCell ref="Q102:Q104"/>
    <mergeCell ref="Q105:Q107"/>
    <mergeCell ref="Q108:Q110"/>
    <mergeCell ref="Q66:Q68"/>
    <mergeCell ref="Q69:Q71"/>
    <mergeCell ref="Q72:Q74"/>
    <mergeCell ref="Q75:Q77"/>
    <mergeCell ref="Q78:Q80"/>
    <mergeCell ref="Q81:Q83"/>
    <mergeCell ref="Q84:Q8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6.43"/>
    <col customWidth="1" min="3" max="3" width="18.43"/>
    <col customWidth="1" min="4" max="4" width="8.86"/>
    <col customWidth="1" min="5" max="5" width="12.86"/>
    <col customWidth="1" min="6" max="6" width="18.43"/>
    <col customWidth="1" min="7" max="7" width="12.71"/>
    <col customWidth="1" min="8" max="8" width="10.29"/>
    <col customWidth="1" min="9" max="9" width="14.14"/>
    <col customWidth="1" min="10" max="10" width="13.71"/>
    <col customWidth="1" min="11" max="11" width="18.29"/>
    <col customWidth="1" min="12" max="12" width="4.29"/>
    <col customWidth="1" min="13" max="13" width="23.43"/>
    <col customWidth="1" min="14" max="14" width="18.86"/>
    <col customWidth="1" min="15" max="15" width="15.86"/>
    <col customWidth="1" min="16" max="16" width="28.0"/>
    <col customWidth="1" min="17" max="17" width="5.71"/>
    <col customWidth="1" min="18" max="19" width="8.0"/>
  </cols>
  <sheetData>
    <row r="1" ht="13.5" customHeight="1">
      <c r="A1" s="1">
        <v>1.0</v>
      </c>
      <c r="B1" s="1">
        <v>2.0</v>
      </c>
      <c r="C1" s="1">
        <v>3.0</v>
      </c>
      <c r="D1" s="1">
        <v>4.0</v>
      </c>
      <c r="E1" s="1">
        <v>5.0</v>
      </c>
      <c r="F1" s="1">
        <v>6.0</v>
      </c>
      <c r="G1" s="1">
        <v>7.0</v>
      </c>
      <c r="H1" s="1">
        <v>8.0</v>
      </c>
      <c r="I1" s="1">
        <v>9.0</v>
      </c>
      <c r="J1" s="1">
        <v>10.0</v>
      </c>
      <c r="K1" s="1">
        <v>11.0</v>
      </c>
      <c r="L1" s="1">
        <v>12.0</v>
      </c>
      <c r="M1" s="1">
        <v>13.0</v>
      </c>
      <c r="N1" s="1">
        <v>14.0</v>
      </c>
      <c r="O1" s="1">
        <v>15.0</v>
      </c>
      <c r="P1" s="1">
        <v>16.0</v>
      </c>
      <c r="Q1" s="2"/>
      <c r="R1" s="20"/>
      <c r="S1" s="20"/>
    </row>
    <row r="2" ht="16.5" customHeight="1">
      <c r="A2" s="3" t="s">
        <v>0</v>
      </c>
      <c r="B2" s="3" t="s">
        <v>1</v>
      </c>
      <c r="C2" s="3" t="s">
        <v>2</v>
      </c>
      <c r="D2" s="4" t="s">
        <v>3</v>
      </c>
      <c r="E2" s="21" t="s">
        <v>1314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3" t="s">
        <v>0</v>
      </c>
      <c r="M2" s="3" t="s">
        <v>1</v>
      </c>
      <c r="N2" s="5" t="s">
        <v>11</v>
      </c>
      <c r="O2" s="5" t="s">
        <v>12</v>
      </c>
      <c r="P2" s="5" t="s">
        <v>13</v>
      </c>
      <c r="Q2" s="5" t="s">
        <v>14</v>
      </c>
      <c r="R2" s="20"/>
      <c r="S2" s="20"/>
    </row>
    <row r="3" ht="51.0" customHeight="1">
      <c r="A3" s="7">
        <v>1.0</v>
      </c>
      <c r="B3" s="8" t="s">
        <v>1315</v>
      </c>
      <c r="C3" s="9" t="s">
        <v>16</v>
      </c>
      <c r="D3" s="10" t="s">
        <v>17</v>
      </c>
      <c r="E3" s="10" t="s">
        <v>18</v>
      </c>
      <c r="F3" s="11" t="s">
        <v>19</v>
      </c>
      <c r="G3" s="11" t="s">
        <v>20</v>
      </c>
      <c r="H3" s="11" t="s">
        <v>21</v>
      </c>
      <c r="I3" s="10" t="s">
        <v>22</v>
      </c>
      <c r="J3" s="12" t="s">
        <v>23</v>
      </c>
      <c r="K3" s="13" t="s">
        <v>24</v>
      </c>
      <c r="L3" s="11">
        <f t="shared" ref="L3:M3" si="1">A3</f>
        <v>1</v>
      </c>
      <c r="M3" s="11" t="str">
        <f t="shared" si="1"/>
        <v>Lenda 2 tema 1</v>
      </c>
      <c r="N3" s="11" t="s">
        <v>25</v>
      </c>
      <c r="O3" s="11" t="s">
        <v>26</v>
      </c>
      <c r="P3" s="12" t="s">
        <v>27</v>
      </c>
      <c r="Q3" s="14">
        <v>1.0</v>
      </c>
      <c r="R3" s="20"/>
      <c r="S3" s="20"/>
    </row>
    <row r="4" ht="25.5" customHeight="1">
      <c r="A4" s="7">
        <v>2.0</v>
      </c>
      <c r="B4" s="8" t="s">
        <v>1316</v>
      </c>
      <c r="C4" s="9" t="s">
        <v>29</v>
      </c>
      <c r="D4" s="10" t="s">
        <v>30</v>
      </c>
      <c r="E4" s="10" t="s">
        <v>31</v>
      </c>
      <c r="F4" s="11" t="s">
        <v>32</v>
      </c>
      <c r="G4" s="11" t="s">
        <v>33</v>
      </c>
      <c r="H4" s="11" t="s">
        <v>34</v>
      </c>
      <c r="I4" s="10" t="s">
        <v>35</v>
      </c>
      <c r="J4" s="12" t="s">
        <v>36</v>
      </c>
      <c r="K4" s="13" t="s">
        <v>37</v>
      </c>
      <c r="L4" s="11">
        <f t="shared" ref="L4:M4" si="2">A4</f>
        <v>2</v>
      </c>
      <c r="M4" s="11" t="str">
        <f t="shared" si="2"/>
        <v>Lenda 2 tema 2</v>
      </c>
      <c r="N4" s="11" t="s">
        <v>38</v>
      </c>
      <c r="O4" s="11" t="s">
        <v>26</v>
      </c>
      <c r="P4" s="12" t="s">
        <v>39</v>
      </c>
      <c r="Q4" s="15"/>
      <c r="R4" s="20"/>
      <c r="S4" s="20"/>
    </row>
    <row r="5" ht="25.5" customHeight="1">
      <c r="A5" s="7">
        <v>3.0</v>
      </c>
      <c r="B5" s="8" t="s">
        <v>1317</v>
      </c>
      <c r="C5" s="9" t="s">
        <v>41</v>
      </c>
      <c r="D5" s="10" t="s">
        <v>42</v>
      </c>
      <c r="E5" s="10" t="s">
        <v>43</v>
      </c>
      <c r="F5" s="11" t="s">
        <v>44</v>
      </c>
      <c r="G5" s="11" t="s">
        <v>45</v>
      </c>
      <c r="H5" s="11" t="s">
        <v>46</v>
      </c>
      <c r="I5" s="10" t="s">
        <v>47</v>
      </c>
      <c r="J5" s="12" t="s">
        <v>48</v>
      </c>
      <c r="K5" s="13" t="s">
        <v>49</v>
      </c>
      <c r="L5" s="11">
        <f t="shared" ref="L5:M5" si="3">A5</f>
        <v>3</v>
      </c>
      <c r="M5" s="11" t="str">
        <f t="shared" si="3"/>
        <v>Lenda 2 tema 3</v>
      </c>
      <c r="N5" s="11" t="s">
        <v>50</v>
      </c>
      <c r="O5" s="11" t="s">
        <v>26</v>
      </c>
      <c r="P5" s="12" t="s">
        <v>51</v>
      </c>
      <c r="Q5" s="16"/>
      <c r="R5" s="20"/>
      <c r="S5" s="20"/>
    </row>
    <row r="6" ht="25.5" customHeight="1">
      <c r="A6" s="7">
        <v>4.0</v>
      </c>
      <c r="B6" s="8" t="s">
        <v>1318</v>
      </c>
      <c r="C6" s="9" t="s">
        <v>53</v>
      </c>
      <c r="D6" s="10" t="s">
        <v>54</v>
      </c>
      <c r="E6" s="10" t="s">
        <v>55</v>
      </c>
      <c r="F6" s="11" t="s">
        <v>56</v>
      </c>
      <c r="G6" s="11" t="s">
        <v>57</v>
      </c>
      <c r="H6" s="11" t="s">
        <v>58</v>
      </c>
      <c r="I6" s="10" t="s">
        <v>59</v>
      </c>
      <c r="J6" s="12" t="s">
        <v>60</v>
      </c>
      <c r="K6" s="13" t="s">
        <v>61</v>
      </c>
      <c r="L6" s="11">
        <f t="shared" ref="L6:M6" si="4">A6</f>
        <v>4</v>
      </c>
      <c r="M6" s="11" t="str">
        <f t="shared" si="4"/>
        <v>Lenda 2 tema 4</v>
      </c>
      <c r="N6" s="11" t="s">
        <v>62</v>
      </c>
      <c r="O6" s="11" t="s">
        <v>26</v>
      </c>
      <c r="P6" s="12" t="s">
        <v>63</v>
      </c>
      <c r="Q6" s="14">
        <v>2.0</v>
      </c>
      <c r="R6" s="20"/>
      <c r="S6" s="20"/>
    </row>
    <row r="7" ht="76.5" customHeight="1">
      <c r="A7" s="7">
        <v>5.0</v>
      </c>
      <c r="B7" s="8" t="s">
        <v>1319</v>
      </c>
      <c r="C7" s="9" t="s">
        <v>65</v>
      </c>
      <c r="D7" s="10" t="s">
        <v>66</v>
      </c>
      <c r="E7" s="10" t="s">
        <v>67</v>
      </c>
      <c r="F7" s="11" t="s">
        <v>68</v>
      </c>
      <c r="G7" s="11" t="s">
        <v>69</v>
      </c>
      <c r="H7" s="11" t="s">
        <v>70</v>
      </c>
      <c r="I7" s="10" t="s">
        <v>71</v>
      </c>
      <c r="J7" s="12" t="s">
        <v>72</v>
      </c>
      <c r="K7" s="13" t="s">
        <v>73</v>
      </c>
      <c r="L7" s="11">
        <f t="shared" ref="L7:M7" si="5">A7</f>
        <v>5</v>
      </c>
      <c r="M7" s="11" t="str">
        <f t="shared" si="5"/>
        <v>Lenda 2 tema 5</v>
      </c>
      <c r="N7" s="11" t="s">
        <v>74</v>
      </c>
      <c r="O7" s="11" t="s">
        <v>26</v>
      </c>
      <c r="P7" s="12" t="s">
        <v>75</v>
      </c>
      <c r="Q7" s="15"/>
      <c r="R7" s="20"/>
      <c r="S7" s="20"/>
    </row>
    <row r="8" ht="51.0" customHeight="1">
      <c r="A8" s="7">
        <v>6.0</v>
      </c>
      <c r="B8" s="8" t="s">
        <v>1320</v>
      </c>
      <c r="C8" s="9" t="s">
        <v>77</v>
      </c>
      <c r="D8" s="10" t="s">
        <v>78</v>
      </c>
      <c r="E8" s="10" t="s">
        <v>79</v>
      </c>
      <c r="F8" s="11" t="s">
        <v>80</v>
      </c>
      <c r="G8" s="11" t="s">
        <v>81</v>
      </c>
      <c r="H8" s="11" t="s">
        <v>82</v>
      </c>
      <c r="I8" s="10" t="s">
        <v>83</v>
      </c>
      <c r="J8" s="12" t="s">
        <v>84</v>
      </c>
      <c r="K8" s="13" t="s">
        <v>85</v>
      </c>
      <c r="L8" s="11">
        <f t="shared" ref="L8:M8" si="6">A8</f>
        <v>6</v>
      </c>
      <c r="M8" s="11" t="str">
        <f t="shared" si="6"/>
        <v>Lenda 2 tema 6</v>
      </c>
      <c r="N8" s="11" t="s">
        <v>86</v>
      </c>
      <c r="O8" s="11" t="s">
        <v>26</v>
      </c>
      <c r="P8" s="12" t="s">
        <v>87</v>
      </c>
      <c r="Q8" s="16"/>
      <c r="R8" s="20"/>
      <c r="S8" s="20"/>
    </row>
    <row r="9" ht="38.25" customHeight="1">
      <c r="A9" s="7">
        <v>7.0</v>
      </c>
      <c r="B9" s="8" t="s">
        <v>1321</v>
      </c>
      <c r="C9" s="9" t="s">
        <v>89</v>
      </c>
      <c r="D9" s="10" t="s">
        <v>90</v>
      </c>
      <c r="E9" s="10" t="s">
        <v>91</v>
      </c>
      <c r="F9" s="11" t="s">
        <v>92</v>
      </c>
      <c r="G9" s="11" t="s">
        <v>93</v>
      </c>
      <c r="H9" s="11" t="s">
        <v>94</v>
      </c>
      <c r="I9" s="10" t="s">
        <v>95</v>
      </c>
      <c r="J9" s="12" t="s">
        <v>96</v>
      </c>
      <c r="K9" s="13" t="s">
        <v>97</v>
      </c>
      <c r="L9" s="11">
        <f t="shared" ref="L9:M9" si="7">A9</f>
        <v>7</v>
      </c>
      <c r="M9" s="11" t="str">
        <f t="shared" si="7"/>
        <v>Lenda 2 tema 7</v>
      </c>
      <c r="N9" s="11" t="s">
        <v>98</v>
      </c>
      <c r="O9" s="11" t="s">
        <v>26</v>
      </c>
      <c r="P9" s="12" t="s">
        <v>99</v>
      </c>
      <c r="Q9" s="14">
        <v>3.0</v>
      </c>
      <c r="R9" s="20"/>
      <c r="S9" s="20"/>
    </row>
    <row r="10" ht="51.0" customHeight="1">
      <c r="A10" s="7">
        <v>8.0</v>
      </c>
      <c r="B10" s="8" t="s">
        <v>1322</v>
      </c>
      <c r="C10" s="9" t="s">
        <v>101</v>
      </c>
      <c r="D10" s="10" t="s">
        <v>102</v>
      </c>
      <c r="E10" s="10" t="s">
        <v>103</v>
      </c>
      <c r="F10" s="11" t="s">
        <v>104</v>
      </c>
      <c r="G10" s="11" t="s">
        <v>105</v>
      </c>
      <c r="H10" s="11" t="s">
        <v>106</v>
      </c>
      <c r="I10" s="10" t="s">
        <v>107</v>
      </c>
      <c r="J10" s="12" t="s">
        <v>108</v>
      </c>
      <c r="K10" s="13" t="s">
        <v>109</v>
      </c>
      <c r="L10" s="11">
        <f t="shared" ref="L10:M10" si="8">A10</f>
        <v>8</v>
      </c>
      <c r="M10" s="11" t="str">
        <f t="shared" si="8"/>
        <v>Lenda 2 tema 8</v>
      </c>
      <c r="N10" s="11" t="s">
        <v>110</v>
      </c>
      <c r="O10" s="11" t="s">
        <v>26</v>
      </c>
      <c r="P10" s="12" t="s">
        <v>111</v>
      </c>
      <c r="Q10" s="15"/>
      <c r="R10" s="20"/>
      <c r="S10" s="20"/>
    </row>
    <row r="11" ht="25.5" customHeight="1">
      <c r="A11" s="7">
        <v>9.0</v>
      </c>
      <c r="B11" s="8" t="s">
        <v>1323</v>
      </c>
      <c r="C11" s="9" t="s">
        <v>113</v>
      </c>
      <c r="D11" s="10" t="s">
        <v>114</v>
      </c>
      <c r="E11" s="10" t="s">
        <v>115</v>
      </c>
      <c r="F11" s="11" t="s">
        <v>116</v>
      </c>
      <c r="G11" s="11" t="s">
        <v>117</v>
      </c>
      <c r="H11" s="11" t="s">
        <v>118</v>
      </c>
      <c r="I11" s="10" t="s">
        <v>119</v>
      </c>
      <c r="J11" s="12" t="s">
        <v>120</v>
      </c>
      <c r="K11" s="13" t="s">
        <v>121</v>
      </c>
      <c r="L11" s="11">
        <f t="shared" ref="L11:M11" si="9">A11</f>
        <v>9</v>
      </c>
      <c r="M11" s="11" t="str">
        <f t="shared" si="9"/>
        <v>Lenda 2 tema 9</v>
      </c>
      <c r="N11" s="11" t="s">
        <v>122</v>
      </c>
      <c r="O11" s="11" t="s">
        <v>26</v>
      </c>
      <c r="P11" s="12" t="s">
        <v>123</v>
      </c>
      <c r="Q11" s="16"/>
      <c r="R11" s="20"/>
      <c r="S11" s="20"/>
    </row>
    <row r="12" ht="51.0" customHeight="1">
      <c r="A12" s="7">
        <v>10.0</v>
      </c>
      <c r="B12" s="8" t="s">
        <v>1324</v>
      </c>
      <c r="C12" s="9" t="s">
        <v>125</v>
      </c>
      <c r="D12" s="10" t="s">
        <v>126</v>
      </c>
      <c r="E12" s="10" t="s">
        <v>127</v>
      </c>
      <c r="F12" s="11" t="s">
        <v>128</v>
      </c>
      <c r="G12" s="11" t="s">
        <v>129</v>
      </c>
      <c r="H12" s="11" t="s">
        <v>130</v>
      </c>
      <c r="I12" s="10" t="s">
        <v>131</v>
      </c>
      <c r="J12" s="12" t="s">
        <v>132</v>
      </c>
      <c r="K12" s="13" t="s">
        <v>133</v>
      </c>
      <c r="L12" s="11">
        <f t="shared" ref="L12:M12" si="10">A12</f>
        <v>10</v>
      </c>
      <c r="M12" s="11" t="str">
        <f t="shared" si="10"/>
        <v>Lenda 2 tema 10</v>
      </c>
      <c r="N12" s="11" t="s">
        <v>134</v>
      </c>
      <c r="O12" s="11" t="s">
        <v>26</v>
      </c>
      <c r="P12" s="12" t="s">
        <v>135</v>
      </c>
      <c r="Q12" s="14">
        <v>4.0</v>
      </c>
      <c r="R12" s="20"/>
      <c r="S12" s="20"/>
    </row>
    <row r="13" ht="38.25" customHeight="1">
      <c r="A13" s="7">
        <v>11.0</v>
      </c>
      <c r="B13" s="8" t="s">
        <v>1325</v>
      </c>
      <c r="C13" s="9" t="s">
        <v>137</v>
      </c>
      <c r="D13" s="10" t="s">
        <v>138</v>
      </c>
      <c r="E13" s="10" t="s">
        <v>139</v>
      </c>
      <c r="F13" s="11" t="s">
        <v>140</v>
      </c>
      <c r="G13" s="11" t="s">
        <v>141</v>
      </c>
      <c r="H13" s="11" t="s">
        <v>142</v>
      </c>
      <c r="I13" s="10" t="s">
        <v>143</v>
      </c>
      <c r="J13" s="12" t="s">
        <v>144</v>
      </c>
      <c r="K13" s="13" t="s">
        <v>145</v>
      </c>
      <c r="L13" s="11">
        <f t="shared" ref="L13:M13" si="11">A13</f>
        <v>11</v>
      </c>
      <c r="M13" s="11" t="str">
        <f t="shared" si="11"/>
        <v>Lenda 2 tema 11</v>
      </c>
      <c r="N13" s="11" t="s">
        <v>146</v>
      </c>
      <c r="O13" s="11" t="s">
        <v>26</v>
      </c>
      <c r="P13" s="12" t="s">
        <v>147</v>
      </c>
      <c r="Q13" s="15"/>
      <c r="R13" s="20"/>
      <c r="S13" s="20"/>
    </row>
    <row r="14" ht="38.25" customHeight="1">
      <c r="A14" s="7">
        <v>12.0</v>
      </c>
      <c r="B14" s="8" t="s">
        <v>1326</v>
      </c>
      <c r="C14" s="9" t="s">
        <v>149</v>
      </c>
      <c r="D14" s="10" t="s">
        <v>150</v>
      </c>
      <c r="E14" s="10" t="s">
        <v>151</v>
      </c>
      <c r="F14" s="11" t="s">
        <v>152</v>
      </c>
      <c r="G14" s="11" t="s">
        <v>153</v>
      </c>
      <c r="H14" s="11" t="s">
        <v>154</v>
      </c>
      <c r="I14" s="10" t="s">
        <v>155</v>
      </c>
      <c r="J14" s="12" t="s">
        <v>156</v>
      </c>
      <c r="K14" s="13" t="s">
        <v>157</v>
      </c>
      <c r="L14" s="11">
        <f t="shared" ref="L14:M14" si="12">A14</f>
        <v>12</v>
      </c>
      <c r="M14" s="11" t="str">
        <f t="shared" si="12"/>
        <v>Lenda 2 tema 12</v>
      </c>
      <c r="N14" s="11" t="s">
        <v>158</v>
      </c>
      <c r="O14" s="11" t="s">
        <v>26</v>
      </c>
      <c r="P14" s="12" t="s">
        <v>159</v>
      </c>
      <c r="Q14" s="16"/>
      <c r="R14" s="20"/>
      <c r="S14" s="20"/>
    </row>
    <row r="15" ht="89.25" customHeight="1">
      <c r="A15" s="7">
        <v>13.0</v>
      </c>
      <c r="B15" s="8" t="s">
        <v>1327</v>
      </c>
      <c r="C15" s="9" t="s">
        <v>161</v>
      </c>
      <c r="D15" s="10" t="s">
        <v>162</v>
      </c>
      <c r="E15" s="10" t="s">
        <v>163</v>
      </c>
      <c r="F15" s="11" t="s">
        <v>164</v>
      </c>
      <c r="G15" s="11" t="s">
        <v>165</v>
      </c>
      <c r="H15" s="11" t="s">
        <v>166</v>
      </c>
      <c r="I15" s="10" t="s">
        <v>167</v>
      </c>
      <c r="J15" s="12" t="s">
        <v>168</v>
      </c>
      <c r="K15" s="13" t="s">
        <v>169</v>
      </c>
      <c r="L15" s="11">
        <f t="shared" ref="L15:M15" si="13">A15</f>
        <v>13</v>
      </c>
      <c r="M15" s="11" t="str">
        <f t="shared" si="13"/>
        <v>Lenda 2 tema 13</v>
      </c>
      <c r="N15" s="11" t="s">
        <v>170</v>
      </c>
      <c r="O15" s="11" t="s">
        <v>26</v>
      </c>
      <c r="P15" s="12" t="s">
        <v>171</v>
      </c>
      <c r="Q15" s="14">
        <v>5.0</v>
      </c>
      <c r="R15" s="20"/>
      <c r="S15" s="20"/>
    </row>
    <row r="16" ht="51.0" customHeight="1">
      <c r="A16" s="7">
        <v>14.0</v>
      </c>
      <c r="B16" s="8" t="s">
        <v>1328</v>
      </c>
      <c r="C16" s="9" t="s">
        <v>173</v>
      </c>
      <c r="D16" s="10" t="s">
        <v>174</v>
      </c>
      <c r="E16" s="10" t="s">
        <v>175</v>
      </c>
      <c r="F16" s="11" t="s">
        <v>176</v>
      </c>
      <c r="G16" s="11" t="s">
        <v>177</v>
      </c>
      <c r="H16" s="11" t="s">
        <v>178</v>
      </c>
      <c r="I16" s="10" t="s">
        <v>179</v>
      </c>
      <c r="J16" s="12" t="s">
        <v>180</v>
      </c>
      <c r="K16" s="13" t="s">
        <v>181</v>
      </c>
      <c r="L16" s="11">
        <f t="shared" ref="L16:M16" si="14">A16</f>
        <v>14</v>
      </c>
      <c r="M16" s="11" t="str">
        <f t="shared" si="14"/>
        <v>Lenda 2 tema 14</v>
      </c>
      <c r="N16" s="11" t="s">
        <v>182</v>
      </c>
      <c r="O16" s="11" t="s">
        <v>26</v>
      </c>
      <c r="P16" s="12" t="s">
        <v>183</v>
      </c>
      <c r="Q16" s="15"/>
      <c r="R16" s="20"/>
      <c r="S16" s="20"/>
    </row>
    <row r="17" ht="25.5" customHeight="1">
      <c r="A17" s="7">
        <v>15.0</v>
      </c>
      <c r="B17" s="8" t="s">
        <v>1329</v>
      </c>
      <c r="C17" s="9" t="s">
        <v>185</v>
      </c>
      <c r="D17" s="10" t="s">
        <v>186</v>
      </c>
      <c r="E17" s="10" t="s">
        <v>187</v>
      </c>
      <c r="F17" s="11" t="s">
        <v>188</v>
      </c>
      <c r="G17" s="11" t="s">
        <v>189</v>
      </c>
      <c r="H17" s="11" t="s">
        <v>190</v>
      </c>
      <c r="I17" s="10" t="s">
        <v>191</v>
      </c>
      <c r="J17" s="12" t="s">
        <v>192</v>
      </c>
      <c r="K17" s="13" t="s">
        <v>193</v>
      </c>
      <c r="L17" s="11">
        <f t="shared" ref="L17:M17" si="15">A17</f>
        <v>15</v>
      </c>
      <c r="M17" s="11" t="str">
        <f t="shared" si="15"/>
        <v>Lenda 2 tema 15</v>
      </c>
      <c r="N17" s="11" t="s">
        <v>194</v>
      </c>
      <c r="O17" s="11" t="s">
        <v>26</v>
      </c>
      <c r="P17" s="12" t="s">
        <v>195</v>
      </c>
      <c r="Q17" s="16"/>
      <c r="R17" s="20"/>
      <c r="S17" s="20"/>
    </row>
    <row r="18" ht="25.5" customHeight="1">
      <c r="A18" s="7">
        <v>16.0</v>
      </c>
      <c r="B18" s="8" t="s">
        <v>1330</v>
      </c>
      <c r="C18" s="9" t="s">
        <v>197</v>
      </c>
      <c r="D18" s="10" t="s">
        <v>198</v>
      </c>
      <c r="E18" s="10" t="s">
        <v>199</v>
      </c>
      <c r="F18" s="11" t="s">
        <v>200</v>
      </c>
      <c r="G18" s="11" t="s">
        <v>201</v>
      </c>
      <c r="H18" s="11" t="s">
        <v>202</v>
      </c>
      <c r="I18" s="10" t="s">
        <v>203</v>
      </c>
      <c r="J18" s="12" t="s">
        <v>204</v>
      </c>
      <c r="K18" s="13" t="s">
        <v>205</v>
      </c>
      <c r="L18" s="11">
        <f t="shared" ref="L18:M18" si="16">A18</f>
        <v>16</v>
      </c>
      <c r="M18" s="11" t="str">
        <f t="shared" si="16"/>
        <v>Lenda 2 tema 16</v>
      </c>
      <c r="N18" s="11" t="s">
        <v>206</v>
      </c>
      <c r="O18" s="11" t="s">
        <v>26</v>
      </c>
      <c r="P18" s="12" t="s">
        <v>207</v>
      </c>
      <c r="Q18" s="14">
        <v>6.0</v>
      </c>
      <c r="R18" s="20"/>
      <c r="S18" s="20"/>
    </row>
    <row r="19" ht="38.25" customHeight="1">
      <c r="A19" s="7">
        <v>17.0</v>
      </c>
      <c r="B19" s="8" t="s">
        <v>1331</v>
      </c>
      <c r="C19" s="9" t="s">
        <v>209</v>
      </c>
      <c r="D19" s="10" t="s">
        <v>210</v>
      </c>
      <c r="E19" s="10" t="s">
        <v>211</v>
      </c>
      <c r="F19" s="11" t="s">
        <v>212</v>
      </c>
      <c r="G19" s="11" t="s">
        <v>213</v>
      </c>
      <c r="H19" s="11" t="s">
        <v>214</v>
      </c>
      <c r="I19" s="10" t="s">
        <v>215</v>
      </c>
      <c r="J19" s="12" t="s">
        <v>216</v>
      </c>
      <c r="K19" s="13" t="s">
        <v>217</v>
      </c>
      <c r="L19" s="11">
        <f t="shared" ref="L19:M19" si="17">A19</f>
        <v>17</v>
      </c>
      <c r="M19" s="11" t="str">
        <f t="shared" si="17"/>
        <v>Lenda 2 tema 17</v>
      </c>
      <c r="N19" s="11" t="s">
        <v>218</v>
      </c>
      <c r="O19" s="11" t="s">
        <v>26</v>
      </c>
      <c r="P19" s="12" t="s">
        <v>219</v>
      </c>
      <c r="Q19" s="15"/>
      <c r="R19" s="20"/>
      <c r="S19" s="20"/>
    </row>
    <row r="20" ht="63.75" customHeight="1">
      <c r="A20" s="7">
        <v>18.0</v>
      </c>
      <c r="B20" s="8" t="s">
        <v>1332</v>
      </c>
      <c r="C20" s="9" t="s">
        <v>221</v>
      </c>
      <c r="D20" s="10" t="s">
        <v>222</v>
      </c>
      <c r="E20" s="10" t="s">
        <v>223</v>
      </c>
      <c r="F20" s="11" t="s">
        <v>224</v>
      </c>
      <c r="G20" s="11" t="s">
        <v>225</v>
      </c>
      <c r="H20" s="11" t="s">
        <v>226</v>
      </c>
      <c r="I20" s="10" t="s">
        <v>227</v>
      </c>
      <c r="J20" s="12" t="s">
        <v>228</v>
      </c>
      <c r="K20" s="13" t="s">
        <v>229</v>
      </c>
      <c r="L20" s="11">
        <f t="shared" ref="L20:M20" si="18">A20</f>
        <v>18</v>
      </c>
      <c r="M20" s="11" t="str">
        <f t="shared" si="18"/>
        <v>Lenda 2 tema 18</v>
      </c>
      <c r="N20" s="11" t="s">
        <v>230</v>
      </c>
      <c r="O20" s="11" t="s">
        <v>26</v>
      </c>
      <c r="P20" s="12" t="s">
        <v>231</v>
      </c>
      <c r="Q20" s="16"/>
      <c r="R20" s="20"/>
      <c r="S20" s="20"/>
    </row>
    <row r="21" ht="38.25" customHeight="1">
      <c r="A21" s="7">
        <v>19.0</v>
      </c>
      <c r="B21" s="8" t="s">
        <v>1333</v>
      </c>
      <c r="C21" s="9" t="s">
        <v>233</v>
      </c>
      <c r="D21" s="10" t="s">
        <v>234</v>
      </c>
      <c r="E21" s="10" t="s">
        <v>235</v>
      </c>
      <c r="F21" s="11" t="s">
        <v>236</v>
      </c>
      <c r="G21" s="11" t="s">
        <v>237</v>
      </c>
      <c r="H21" s="11" t="s">
        <v>238</v>
      </c>
      <c r="I21" s="10" t="s">
        <v>239</v>
      </c>
      <c r="J21" s="12" t="s">
        <v>240</v>
      </c>
      <c r="K21" s="13" t="s">
        <v>241</v>
      </c>
      <c r="L21" s="11">
        <f t="shared" ref="L21:M21" si="19">A21</f>
        <v>19</v>
      </c>
      <c r="M21" s="11" t="str">
        <f t="shared" si="19"/>
        <v>Lenda 2 tema 19</v>
      </c>
      <c r="N21" s="11" t="s">
        <v>242</v>
      </c>
      <c r="O21" s="11" t="s">
        <v>26</v>
      </c>
      <c r="P21" s="12" t="s">
        <v>243</v>
      </c>
      <c r="Q21" s="14">
        <v>7.0</v>
      </c>
      <c r="R21" s="20"/>
      <c r="S21" s="20"/>
    </row>
    <row r="22" ht="38.25" customHeight="1">
      <c r="A22" s="7">
        <v>20.0</v>
      </c>
      <c r="B22" s="8" t="s">
        <v>1334</v>
      </c>
      <c r="C22" s="9" t="s">
        <v>245</v>
      </c>
      <c r="D22" s="10" t="s">
        <v>246</v>
      </c>
      <c r="E22" s="10" t="s">
        <v>247</v>
      </c>
      <c r="F22" s="11" t="s">
        <v>248</v>
      </c>
      <c r="G22" s="11" t="s">
        <v>249</v>
      </c>
      <c r="H22" s="11" t="s">
        <v>250</v>
      </c>
      <c r="I22" s="10" t="s">
        <v>251</v>
      </c>
      <c r="J22" s="12" t="s">
        <v>252</v>
      </c>
      <c r="K22" s="13" t="s">
        <v>253</v>
      </c>
      <c r="L22" s="11">
        <f t="shared" ref="L22:M22" si="20">A22</f>
        <v>20</v>
      </c>
      <c r="M22" s="11" t="str">
        <f t="shared" si="20"/>
        <v>Lenda 2 tema 20</v>
      </c>
      <c r="N22" s="11" t="s">
        <v>254</v>
      </c>
      <c r="O22" s="11" t="s">
        <v>26</v>
      </c>
      <c r="P22" s="12" t="s">
        <v>255</v>
      </c>
      <c r="Q22" s="15"/>
      <c r="R22" s="20"/>
      <c r="S22" s="20"/>
    </row>
    <row r="23" ht="38.25" customHeight="1">
      <c r="A23" s="7">
        <v>21.0</v>
      </c>
      <c r="B23" s="8" t="s">
        <v>1335</v>
      </c>
      <c r="C23" s="9" t="s">
        <v>257</v>
      </c>
      <c r="D23" s="10" t="s">
        <v>258</v>
      </c>
      <c r="E23" s="10" t="s">
        <v>259</v>
      </c>
      <c r="F23" s="11" t="s">
        <v>260</v>
      </c>
      <c r="G23" s="11" t="s">
        <v>261</v>
      </c>
      <c r="H23" s="11" t="s">
        <v>262</v>
      </c>
      <c r="I23" s="10" t="s">
        <v>263</v>
      </c>
      <c r="J23" s="12" t="s">
        <v>264</v>
      </c>
      <c r="K23" s="13" t="s">
        <v>265</v>
      </c>
      <c r="L23" s="11">
        <f t="shared" ref="L23:M23" si="21">A23</f>
        <v>21</v>
      </c>
      <c r="M23" s="11" t="str">
        <f t="shared" si="21"/>
        <v>Lenda 2 tema 21</v>
      </c>
      <c r="N23" s="11" t="s">
        <v>266</v>
      </c>
      <c r="O23" s="11" t="s">
        <v>26</v>
      </c>
      <c r="P23" s="12" t="s">
        <v>267</v>
      </c>
      <c r="Q23" s="16"/>
      <c r="R23" s="20"/>
      <c r="S23" s="20"/>
    </row>
    <row r="24" ht="25.5" customHeight="1">
      <c r="A24" s="7">
        <v>22.0</v>
      </c>
      <c r="B24" s="8" t="s">
        <v>1336</v>
      </c>
      <c r="C24" s="9" t="s">
        <v>269</v>
      </c>
      <c r="D24" s="10" t="s">
        <v>270</v>
      </c>
      <c r="E24" s="10" t="s">
        <v>271</v>
      </c>
      <c r="F24" s="11" t="s">
        <v>272</v>
      </c>
      <c r="G24" s="11" t="s">
        <v>273</v>
      </c>
      <c r="H24" s="11" t="s">
        <v>274</v>
      </c>
      <c r="I24" s="10" t="s">
        <v>275</v>
      </c>
      <c r="J24" s="12" t="s">
        <v>276</v>
      </c>
      <c r="K24" s="13" t="s">
        <v>277</v>
      </c>
      <c r="L24" s="11">
        <f t="shared" ref="L24:M24" si="22">A24</f>
        <v>22</v>
      </c>
      <c r="M24" s="11" t="str">
        <f t="shared" si="22"/>
        <v>Lenda 2 tema 22</v>
      </c>
      <c r="N24" s="11" t="s">
        <v>278</v>
      </c>
      <c r="O24" s="11" t="s">
        <v>26</v>
      </c>
      <c r="P24" s="12" t="s">
        <v>279</v>
      </c>
      <c r="Q24" s="14">
        <v>8.0</v>
      </c>
      <c r="R24" s="20"/>
      <c r="S24" s="20"/>
    </row>
    <row r="25" ht="25.5" customHeight="1">
      <c r="A25" s="7">
        <v>23.0</v>
      </c>
      <c r="B25" s="8" t="s">
        <v>1337</v>
      </c>
      <c r="C25" s="9" t="s">
        <v>281</v>
      </c>
      <c r="D25" s="10" t="s">
        <v>282</v>
      </c>
      <c r="E25" s="10" t="s">
        <v>283</v>
      </c>
      <c r="F25" s="11" t="s">
        <v>284</v>
      </c>
      <c r="G25" s="11" t="s">
        <v>285</v>
      </c>
      <c r="H25" s="11" t="s">
        <v>286</v>
      </c>
      <c r="I25" s="10" t="s">
        <v>287</v>
      </c>
      <c r="J25" s="12" t="s">
        <v>288</v>
      </c>
      <c r="K25" s="13" t="s">
        <v>289</v>
      </c>
      <c r="L25" s="11">
        <f t="shared" ref="L25:M25" si="23">A25</f>
        <v>23</v>
      </c>
      <c r="M25" s="11" t="str">
        <f t="shared" si="23"/>
        <v>Lenda 2 tema 23</v>
      </c>
      <c r="N25" s="11" t="s">
        <v>290</v>
      </c>
      <c r="O25" s="11" t="s">
        <v>26</v>
      </c>
      <c r="P25" s="12" t="s">
        <v>291</v>
      </c>
      <c r="Q25" s="15"/>
      <c r="R25" s="20"/>
      <c r="S25" s="20"/>
    </row>
    <row r="26" ht="76.5" customHeight="1">
      <c r="A26" s="7">
        <v>24.0</v>
      </c>
      <c r="B26" s="8" t="s">
        <v>1338</v>
      </c>
      <c r="C26" s="9" t="s">
        <v>293</v>
      </c>
      <c r="D26" s="10" t="s">
        <v>294</v>
      </c>
      <c r="E26" s="10" t="s">
        <v>295</v>
      </c>
      <c r="F26" s="11" t="s">
        <v>296</v>
      </c>
      <c r="G26" s="11" t="s">
        <v>297</v>
      </c>
      <c r="H26" s="11" t="s">
        <v>298</v>
      </c>
      <c r="I26" s="10" t="s">
        <v>299</v>
      </c>
      <c r="J26" s="12" t="s">
        <v>300</v>
      </c>
      <c r="K26" s="13" t="s">
        <v>301</v>
      </c>
      <c r="L26" s="11">
        <f t="shared" ref="L26:M26" si="24">A26</f>
        <v>24</v>
      </c>
      <c r="M26" s="11" t="str">
        <f t="shared" si="24"/>
        <v>Lenda 2 tema 24</v>
      </c>
      <c r="N26" s="11" t="s">
        <v>302</v>
      </c>
      <c r="O26" s="11" t="s">
        <v>26</v>
      </c>
      <c r="P26" s="12" t="s">
        <v>303</v>
      </c>
      <c r="Q26" s="16"/>
      <c r="R26" s="20"/>
      <c r="S26" s="20"/>
    </row>
    <row r="27" ht="89.25" customHeight="1">
      <c r="A27" s="7">
        <v>25.0</v>
      </c>
      <c r="B27" s="8" t="s">
        <v>1339</v>
      </c>
      <c r="C27" s="9" t="s">
        <v>305</v>
      </c>
      <c r="D27" s="10" t="s">
        <v>306</v>
      </c>
      <c r="E27" s="10" t="s">
        <v>307</v>
      </c>
      <c r="F27" s="11" t="s">
        <v>308</v>
      </c>
      <c r="G27" s="11" t="s">
        <v>309</v>
      </c>
      <c r="H27" s="11" t="s">
        <v>310</v>
      </c>
      <c r="I27" s="10" t="s">
        <v>311</v>
      </c>
      <c r="J27" s="12" t="s">
        <v>312</v>
      </c>
      <c r="K27" s="13" t="s">
        <v>313</v>
      </c>
      <c r="L27" s="11">
        <f t="shared" ref="L27:M27" si="25">A27</f>
        <v>25</v>
      </c>
      <c r="M27" s="11" t="str">
        <f t="shared" si="25"/>
        <v>Lenda 2 tema 25</v>
      </c>
      <c r="N27" s="11" t="s">
        <v>314</v>
      </c>
      <c r="O27" s="11" t="s">
        <v>26</v>
      </c>
      <c r="P27" s="12" t="s">
        <v>315</v>
      </c>
      <c r="Q27" s="14">
        <v>9.0</v>
      </c>
      <c r="R27" s="20"/>
      <c r="S27" s="20"/>
    </row>
    <row r="28" ht="89.25" customHeight="1">
      <c r="A28" s="7">
        <v>26.0</v>
      </c>
      <c r="B28" s="8" t="s">
        <v>1340</v>
      </c>
      <c r="C28" s="9" t="s">
        <v>317</v>
      </c>
      <c r="D28" s="10" t="s">
        <v>318</v>
      </c>
      <c r="E28" s="10" t="s">
        <v>319</v>
      </c>
      <c r="F28" s="11" t="s">
        <v>320</v>
      </c>
      <c r="G28" s="11" t="s">
        <v>321</v>
      </c>
      <c r="H28" s="11" t="s">
        <v>322</v>
      </c>
      <c r="I28" s="10" t="s">
        <v>323</v>
      </c>
      <c r="J28" s="12" t="s">
        <v>324</v>
      </c>
      <c r="K28" s="13" t="s">
        <v>325</v>
      </c>
      <c r="L28" s="11">
        <f t="shared" ref="L28:M28" si="26">A28</f>
        <v>26</v>
      </c>
      <c r="M28" s="11" t="str">
        <f t="shared" si="26"/>
        <v>Lenda 2 tema 26</v>
      </c>
      <c r="N28" s="11" t="s">
        <v>326</v>
      </c>
      <c r="O28" s="11" t="s">
        <v>26</v>
      </c>
      <c r="P28" s="12" t="s">
        <v>327</v>
      </c>
      <c r="Q28" s="15"/>
      <c r="R28" s="20"/>
      <c r="S28" s="20"/>
    </row>
    <row r="29" ht="114.75" customHeight="1">
      <c r="A29" s="7">
        <v>27.0</v>
      </c>
      <c r="B29" s="8" t="s">
        <v>1341</v>
      </c>
      <c r="C29" s="9" t="s">
        <v>329</v>
      </c>
      <c r="D29" s="10" t="s">
        <v>330</v>
      </c>
      <c r="E29" s="10" t="s">
        <v>331</v>
      </c>
      <c r="F29" s="11" t="s">
        <v>332</v>
      </c>
      <c r="G29" s="11" t="s">
        <v>333</v>
      </c>
      <c r="H29" s="11" t="s">
        <v>334</v>
      </c>
      <c r="I29" s="10" t="s">
        <v>335</v>
      </c>
      <c r="J29" s="12" t="s">
        <v>336</v>
      </c>
      <c r="K29" s="13" t="s">
        <v>337</v>
      </c>
      <c r="L29" s="11">
        <f t="shared" ref="L29:M29" si="27">A29</f>
        <v>27</v>
      </c>
      <c r="M29" s="11" t="str">
        <f t="shared" si="27"/>
        <v>Lenda 2 tema 27</v>
      </c>
      <c r="N29" s="11" t="s">
        <v>338</v>
      </c>
      <c r="O29" s="11" t="s">
        <v>26</v>
      </c>
      <c r="P29" s="12" t="s">
        <v>339</v>
      </c>
      <c r="Q29" s="16"/>
      <c r="R29" s="20"/>
      <c r="S29" s="20"/>
    </row>
    <row r="30" ht="102.0" customHeight="1">
      <c r="A30" s="7">
        <v>28.0</v>
      </c>
      <c r="B30" s="8" t="s">
        <v>1342</v>
      </c>
      <c r="C30" s="9" t="s">
        <v>341</v>
      </c>
      <c r="D30" s="10" t="s">
        <v>342</v>
      </c>
      <c r="E30" s="10" t="s">
        <v>343</v>
      </c>
      <c r="F30" s="11" t="s">
        <v>344</v>
      </c>
      <c r="G30" s="11" t="s">
        <v>345</v>
      </c>
      <c r="H30" s="11" t="s">
        <v>346</v>
      </c>
      <c r="I30" s="10" t="s">
        <v>347</v>
      </c>
      <c r="J30" s="12" t="s">
        <v>348</v>
      </c>
      <c r="K30" s="13" t="s">
        <v>349</v>
      </c>
      <c r="L30" s="11">
        <f t="shared" ref="L30:M30" si="28">A30</f>
        <v>28</v>
      </c>
      <c r="M30" s="11" t="str">
        <f t="shared" si="28"/>
        <v>Lenda 2 tema 28</v>
      </c>
      <c r="N30" s="11" t="s">
        <v>350</v>
      </c>
      <c r="O30" s="11" t="s">
        <v>26</v>
      </c>
      <c r="P30" s="12" t="s">
        <v>351</v>
      </c>
      <c r="Q30" s="14">
        <v>10.0</v>
      </c>
      <c r="R30" s="20"/>
      <c r="S30" s="20"/>
    </row>
    <row r="31" ht="89.25" customHeight="1">
      <c r="A31" s="7">
        <v>29.0</v>
      </c>
      <c r="B31" s="8" t="s">
        <v>1343</v>
      </c>
      <c r="C31" s="9" t="s">
        <v>353</v>
      </c>
      <c r="D31" s="10" t="s">
        <v>354</v>
      </c>
      <c r="E31" s="10" t="s">
        <v>355</v>
      </c>
      <c r="F31" s="11" t="s">
        <v>356</v>
      </c>
      <c r="G31" s="11" t="s">
        <v>357</v>
      </c>
      <c r="H31" s="11" t="s">
        <v>358</v>
      </c>
      <c r="I31" s="10" t="s">
        <v>359</v>
      </c>
      <c r="J31" s="12" t="s">
        <v>360</v>
      </c>
      <c r="K31" s="13" t="s">
        <v>361</v>
      </c>
      <c r="L31" s="11">
        <f t="shared" ref="L31:M31" si="29">A31</f>
        <v>29</v>
      </c>
      <c r="M31" s="11" t="str">
        <f t="shared" si="29"/>
        <v>Lenda 2 tema 29</v>
      </c>
      <c r="N31" s="11" t="s">
        <v>362</v>
      </c>
      <c r="O31" s="11" t="s">
        <v>26</v>
      </c>
      <c r="P31" s="12" t="s">
        <v>363</v>
      </c>
      <c r="Q31" s="15"/>
      <c r="R31" s="20"/>
      <c r="S31" s="20"/>
    </row>
    <row r="32" ht="51.0" customHeight="1">
      <c r="A32" s="7">
        <v>30.0</v>
      </c>
      <c r="B32" s="8" t="s">
        <v>1344</v>
      </c>
      <c r="C32" s="9" t="s">
        <v>365</v>
      </c>
      <c r="D32" s="10" t="s">
        <v>366</v>
      </c>
      <c r="E32" s="10" t="s">
        <v>367</v>
      </c>
      <c r="F32" s="11" t="s">
        <v>368</v>
      </c>
      <c r="G32" s="11" t="s">
        <v>369</v>
      </c>
      <c r="H32" s="11" t="s">
        <v>370</v>
      </c>
      <c r="I32" s="10" t="s">
        <v>371</v>
      </c>
      <c r="J32" s="12" t="s">
        <v>372</v>
      </c>
      <c r="K32" s="13" t="s">
        <v>373</v>
      </c>
      <c r="L32" s="11">
        <f t="shared" ref="L32:M32" si="30">A32</f>
        <v>30</v>
      </c>
      <c r="M32" s="11" t="str">
        <f t="shared" si="30"/>
        <v>Lenda 2 tema 30</v>
      </c>
      <c r="N32" s="11" t="s">
        <v>374</v>
      </c>
      <c r="O32" s="11" t="s">
        <v>26</v>
      </c>
      <c r="P32" s="12" t="s">
        <v>375</v>
      </c>
      <c r="Q32" s="16"/>
      <c r="R32" s="20"/>
      <c r="S32" s="20"/>
    </row>
    <row r="33" ht="63.75" customHeight="1">
      <c r="A33" s="7">
        <v>31.0</v>
      </c>
      <c r="B33" s="8" t="s">
        <v>1345</v>
      </c>
      <c r="C33" s="9" t="s">
        <v>377</v>
      </c>
      <c r="D33" s="10" t="s">
        <v>378</v>
      </c>
      <c r="E33" s="10" t="s">
        <v>379</v>
      </c>
      <c r="F33" s="11" t="s">
        <v>380</v>
      </c>
      <c r="G33" s="11" t="s">
        <v>381</v>
      </c>
      <c r="H33" s="11" t="s">
        <v>382</v>
      </c>
      <c r="I33" s="10" t="s">
        <v>383</v>
      </c>
      <c r="J33" s="12" t="s">
        <v>384</v>
      </c>
      <c r="K33" s="13" t="s">
        <v>385</v>
      </c>
      <c r="L33" s="11">
        <f t="shared" ref="L33:M33" si="31">A33</f>
        <v>31</v>
      </c>
      <c r="M33" s="11" t="str">
        <f t="shared" si="31"/>
        <v>Lenda 2 tema 31</v>
      </c>
      <c r="N33" s="11" t="s">
        <v>386</v>
      </c>
      <c r="O33" s="11" t="s">
        <v>26</v>
      </c>
      <c r="P33" s="12" t="s">
        <v>387</v>
      </c>
      <c r="Q33" s="14">
        <v>11.0</v>
      </c>
      <c r="R33" s="20"/>
      <c r="S33" s="20"/>
    </row>
    <row r="34" ht="38.25" customHeight="1">
      <c r="A34" s="7">
        <v>32.0</v>
      </c>
      <c r="B34" s="8" t="s">
        <v>1346</v>
      </c>
      <c r="C34" s="9" t="s">
        <v>389</v>
      </c>
      <c r="D34" s="10" t="s">
        <v>390</v>
      </c>
      <c r="E34" s="10" t="s">
        <v>391</v>
      </c>
      <c r="F34" s="11" t="s">
        <v>392</v>
      </c>
      <c r="G34" s="11" t="s">
        <v>393</v>
      </c>
      <c r="H34" s="11" t="s">
        <v>394</v>
      </c>
      <c r="I34" s="10" t="s">
        <v>395</v>
      </c>
      <c r="J34" s="12" t="s">
        <v>396</v>
      </c>
      <c r="K34" s="13" t="s">
        <v>397</v>
      </c>
      <c r="L34" s="11">
        <f t="shared" ref="L34:M34" si="32">A34</f>
        <v>32</v>
      </c>
      <c r="M34" s="11" t="str">
        <f t="shared" si="32"/>
        <v>Lenda 2 tema 32</v>
      </c>
      <c r="N34" s="11" t="s">
        <v>398</v>
      </c>
      <c r="O34" s="11" t="s">
        <v>26</v>
      </c>
      <c r="P34" s="12" t="s">
        <v>399</v>
      </c>
      <c r="Q34" s="15"/>
      <c r="R34" s="20"/>
      <c r="S34" s="20"/>
    </row>
    <row r="35" ht="38.25" customHeight="1">
      <c r="A35" s="7">
        <v>33.0</v>
      </c>
      <c r="B35" s="8" t="s">
        <v>1347</v>
      </c>
      <c r="C35" s="9" t="s">
        <v>401</v>
      </c>
      <c r="D35" s="10" t="s">
        <v>402</v>
      </c>
      <c r="E35" s="10" t="s">
        <v>403</v>
      </c>
      <c r="F35" s="11" t="s">
        <v>404</v>
      </c>
      <c r="G35" s="11" t="s">
        <v>405</v>
      </c>
      <c r="H35" s="11" t="s">
        <v>406</v>
      </c>
      <c r="I35" s="10" t="s">
        <v>407</v>
      </c>
      <c r="J35" s="12" t="s">
        <v>408</v>
      </c>
      <c r="K35" s="13" t="s">
        <v>409</v>
      </c>
      <c r="L35" s="11">
        <f t="shared" ref="L35:M35" si="33">A35</f>
        <v>33</v>
      </c>
      <c r="M35" s="11" t="str">
        <f t="shared" si="33"/>
        <v>Lenda 2 tema 33</v>
      </c>
      <c r="N35" s="11" t="s">
        <v>410</v>
      </c>
      <c r="O35" s="11" t="s">
        <v>26</v>
      </c>
      <c r="P35" s="12" t="s">
        <v>411</v>
      </c>
      <c r="Q35" s="16"/>
      <c r="R35" s="20"/>
      <c r="S35" s="20"/>
    </row>
    <row r="36" ht="51.0" customHeight="1">
      <c r="A36" s="7">
        <v>34.0</v>
      </c>
      <c r="B36" s="8" t="s">
        <v>1348</v>
      </c>
      <c r="C36" s="9" t="s">
        <v>413</v>
      </c>
      <c r="D36" s="10" t="s">
        <v>414</v>
      </c>
      <c r="E36" s="10" t="s">
        <v>415</v>
      </c>
      <c r="F36" s="11" t="s">
        <v>416</v>
      </c>
      <c r="G36" s="11" t="s">
        <v>417</v>
      </c>
      <c r="H36" s="11" t="s">
        <v>418</v>
      </c>
      <c r="I36" s="10" t="s">
        <v>419</v>
      </c>
      <c r="J36" s="12" t="s">
        <v>420</v>
      </c>
      <c r="K36" s="13" t="s">
        <v>421</v>
      </c>
      <c r="L36" s="11">
        <f t="shared" ref="L36:M36" si="34">A36</f>
        <v>34</v>
      </c>
      <c r="M36" s="11" t="str">
        <f t="shared" si="34"/>
        <v>Lenda 2 tema 34</v>
      </c>
      <c r="N36" s="11" t="s">
        <v>422</v>
      </c>
      <c r="O36" s="11" t="s">
        <v>26</v>
      </c>
      <c r="P36" s="12" t="s">
        <v>423</v>
      </c>
      <c r="Q36" s="14">
        <v>12.0</v>
      </c>
      <c r="R36" s="20"/>
      <c r="S36" s="20"/>
    </row>
    <row r="37" ht="51.0" customHeight="1">
      <c r="A37" s="7">
        <v>35.0</v>
      </c>
      <c r="B37" s="8" t="s">
        <v>1349</v>
      </c>
      <c r="C37" s="9" t="s">
        <v>425</v>
      </c>
      <c r="D37" s="10" t="s">
        <v>426</v>
      </c>
      <c r="E37" s="10" t="s">
        <v>427</v>
      </c>
      <c r="F37" s="11" t="s">
        <v>428</v>
      </c>
      <c r="G37" s="11" t="s">
        <v>429</v>
      </c>
      <c r="H37" s="11" t="s">
        <v>430</v>
      </c>
      <c r="I37" s="10" t="s">
        <v>431</v>
      </c>
      <c r="J37" s="12" t="s">
        <v>432</v>
      </c>
      <c r="K37" s="13" t="s">
        <v>433</v>
      </c>
      <c r="L37" s="11">
        <f t="shared" ref="L37:M37" si="35">A37</f>
        <v>35</v>
      </c>
      <c r="M37" s="11" t="str">
        <f t="shared" si="35"/>
        <v>Lenda 2 tema 35</v>
      </c>
      <c r="N37" s="11" t="s">
        <v>434</v>
      </c>
      <c r="O37" s="11" t="s">
        <v>26</v>
      </c>
      <c r="P37" s="12" t="s">
        <v>435</v>
      </c>
      <c r="Q37" s="15"/>
      <c r="R37" s="20"/>
      <c r="S37" s="20"/>
    </row>
    <row r="38" ht="63.75" customHeight="1">
      <c r="A38" s="7">
        <v>36.0</v>
      </c>
      <c r="B38" s="8" t="s">
        <v>1350</v>
      </c>
      <c r="C38" s="9" t="s">
        <v>437</v>
      </c>
      <c r="D38" s="10" t="s">
        <v>438</v>
      </c>
      <c r="E38" s="10" t="s">
        <v>439</v>
      </c>
      <c r="F38" s="11" t="s">
        <v>440</v>
      </c>
      <c r="G38" s="11" t="s">
        <v>441</v>
      </c>
      <c r="H38" s="11" t="s">
        <v>442</v>
      </c>
      <c r="I38" s="10" t="s">
        <v>443</v>
      </c>
      <c r="J38" s="12" t="s">
        <v>444</v>
      </c>
      <c r="K38" s="13" t="s">
        <v>445</v>
      </c>
      <c r="L38" s="11">
        <f t="shared" ref="L38:M38" si="36">A38</f>
        <v>36</v>
      </c>
      <c r="M38" s="11" t="str">
        <f t="shared" si="36"/>
        <v>Lenda 2 tema 36</v>
      </c>
      <c r="N38" s="11" t="s">
        <v>446</v>
      </c>
      <c r="O38" s="11" t="s">
        <v>26</v>
      </c>
      <c r="P38" s="12" t="s">
        <v>447</v>
      </c>
      <c r="Q38" s="16"/>
      <c r="R38" s="20"/>
      <c r="S38" s="20"/>
    </row>
    <row r="39" ht="25.5" customHeight="1">
      <c r="A39" s="7">
        <v>37.0</v>
      </c>
      <c r="B39" s="8" t="s">
        <v>1351</v>
      </c>
      <c r="C39" s="9" t="s">
        <v>449</v>
      </c>
      <c r="D39" s="10" t="s">
        <v>450</v>
      </c>
      <c r="E39" s="10" t="s">
        <v>451</v>
      </c>
      <c r="F39" s="11" t="s">
        <v>452</v>
      </c>
      <c r="G39" s="11" t="s">
        <v>453</v>
      </c>
      <c r="H39" s="11" t="s">
        <v>454</v>
      </c>
      <c r="I39" s="10" t="s">
        <v>455</v>
      </c>
      <c r="J39" s="12" t="s">
        <v>456</v>
      </c>
      <c r="K39" s="13" t="s">
        <v>457</v>
      </c>
      <c r="L39" s="11">
        <f t="shared" ref="L39:M39" si="37">A39</f>
        <v>37</v>
      </c>
      <c r="M39" s="11" t="str">
        <f t="shared" si="37"/>
        <v>Lenda 2 tema 37</v>
      </c>
      <c r="N39" s="11" t="s">
        <v>458</v>
      </c>
      <c r="O39" s="11" t="s">
        <v>26</v>
      </c>
      <c r="P39" s="12" t="s">
        <v>459</v>
      </c>
      <c r="Q39" s="14">
        <v>13.0</v>
      </c>
      <c r="R39" s="20"/>
      <c r="S39" s="20"/>
    </row>
    <row r="40" ht="25.5" customHeight="1">
      <c r="A40" s="7">
        <v>38.0</v>
      </c>
      <c r="B40" s="8" t="s">
        <v>1352</v>
      </c>
      <c r="C40" s="9" t="s">
        <v>461</v>
      </c>
      <c r="D40" s="10" t="s">
        <v>462</v>
      </c>
      <c r="E40" s="10" t="s">
        <v>463</v>
      </c>
      <c r="F40" s="11" t="s">
        <v>464</v>
      </c>
      <c r="G40" s="11" t="s">
        <v>465</v>
      </c>
      <c r="H40" s="11" t="s">
        <v>466</v>
      </c>
      <c r="I40" s="10" t="s">
        <v>467</v>
      </c>
      <c r="J40" s="12" t="s">
        <v>468</v>
      </c>
      <c r="K40" s="13" t="s">
        <v>469</v>
      </c>
      <c r="L40" s="11">
        <f t="shared" ref="L40:M40" si="38">A40</f>
        <v>38</v>
      </c>
      <c r="M40" s="11" t="str">
        <f t="shared" si="38"/>
        <v>Lenda 2 tema 38</v>
      </c>
      <c r="N40" s="11" t="s">
        <v>470</v>
      </c>
      <c r="O40" s="11" t="s">
        <v>26</v>
      </c>
      <c r="P40" s="12" t="s">
        <v>471</v>
      </c>
      <c r="Q40" s="15"/>
      <c r="R40" s="20"/>
      <c r="S40" s="20"/>
    </row>
    <row r="41" ht="25.5" customHeight="1">
      <c r="A41" s="7">
        <v>39.0</v>
      </c>
      <c r="B41" s="8" t="s">
        <v>1353</v>
      </c>
      <c r="C41" s="9" t="s">
        <v>473</v>
      </c>
      <c r="D41" s="10" t="s">
        <v>474</v>
      </c>
      <c r="E41" s="10" t="s">
        <v>475</v>
      </c>
      <c r="F41" s="11" t="s">
        <v>476</v>
      </c>
      <c r="G41" s="11" t="s">
        <v>477</v>
      </c>
      <c r="H41" s="11" t="s">
        <v>478</v>
      </c>
      <c r="I41" s="10" t="s">
        <v>479</v>
      </c>
      <c r="J41" s="12" t="s">
        <v>480</v>
      </c>
      <c r="K41" s="13" t="s">
        <v>481</v>
      </c>
      <c r="L41" s="11">
        <f t="shared" ref="L41:L44" si="39">Q39</f>
        <v>13</v>
      </c>
      <c r="M41" s="11" t="str">
        <f t="shared" ref="M41:M44" si="40">B41</f>
        <v>Lenda 2 tema 39</v>
      </c>
      <c r="N41" s="11" t="s">
        <v>482</v>
      </c>
      <c r="O41" s="11" t="s">
        <v>26</v>
      </c>
      <c r="P41" s="12" t="s">
        <v>483</v>
      </c>
      <c r="Q41" s="16"/>
      <c r="R41" s="20"/>
      <c r="S41" s="20"/>
    </row>
    <row r="42" ht="89.25" customHeight="1">
      <c r="A42" s="7">
        <v>40.0</v>
      </c>
      <c r="B42" s="8" t="s">
        <v>1354</v>
      </c>
      <c r="C42" s="9" t="s">
        <v>485</v>
      </c>
      <c r="D42" s="10" t="s">
        <v>486</v>
      </c>
      <c r="E42" s="10" t="s">
        <v>487</v>
      </c>
      <c r="F42" s="11" t="s">
        <v>488</v>
      </c>
      <c r="G42" s="11" t="s">
        <v>489</v>
      </c>
      <c r="H42" s="11" t="s">
        <v>490</v>
      </c>
      <c r="I42" s="10" t="s">
        <v>491</v>
      </c>
      <c r="J42" s="12" t="s">
        <v>492</v>
      </c>
      <c r="K42" s="13" t="s">
        <v>493</v>
      </c>
      <c r="L42" s="11" t="str">
        <f t="shared" si="39"/>
        <v/>
      </c>
      <c r="M42" s="11" t="str">
        <f t="shared" si="40"/>
        <v>Lenda 2 tema 40</v>
      </c>
      <c r="N42" s="11" t="s">
        <v>494</v>
      </c>
      <c r="O42" s="11" t="s">
        <v>26</v>
      </c>
      <c r="P42" s="12" t="s">
        <v>495</v>
      </c>
      <c r="Q42" s="14">
        <v>14.0</v>
      </c>
      <c r="R42" s="20"/>
      <c r="S42" s="20"/>
    </row>
    <row r="43" ht="25.5" customHeight="1">
      <c r="A43" s="7">
        <v>41.0</v>
      </c>
      <c r="B43" s="8" t="s">
        <v>1355</v>
      </c>
      <c r="C43" s="9" t="s">
        <v>497</v>
      </c>
      <c r="D43" s="10" t="s">
        <v>498</v>
      </c>
      <c r="E43" s="10" t="s">
        <v>499</v>
      </c>
      <c r="F43" s="11" t="s">
        <v>500</v>
      </c>
      <c r="G43" s="11" t="s">
        <v>501</v>
      </c>
      <c r="H43" s="11" t="s">
        <v>502</v>
      </c>
      <c r="I43" s="10" t="s">
        <v>503</v>
      </c>
      <c r="J43" s="12" t="s">
        <v>504</v>
      </c>
      <c r="K43" s="13" t="s">
        <v>505</v>
      </c>
      <c r="L43" s="11" t="str">
        <f t="shared" si="39"/>
        <v/>
      </c>
      <c r="M43" s="11" t="str">
        <f t="shared" si="40"/>
        <v>Lenda 2 tema 41</v>
      </c>
      <c r="N43" s="11" t="s">
        <v>506</v>
      </c>
      <c r="O43" s="11" t="s">
        <v>26</v>
      </c>
      <c r="P43" s="12" t="s">
        <v>507</v>
      </c>
      <c r="Q43" s="15"/>
      <c r="R43" s="20"/>
      <c r="S43" s="20"/>
    </row>
    <row r="44" ht="51.0" customHeight="1">
      <c r="A44" s="7">
        <v>42.0</v>
      </c>
      <c r="B44" s="8" t="s">
        <v>1356</v>
      </c>
      <c r="C44" s="9" t="s">
        <v>509</v>
      </c>
      <c r="D44" s="10" t="s">
        <v>510</v>
      </c>
      <c r="E44" s="10" t="s">
        <v>511</v>
      </c>
      <c r="F44" s="11" t="s">
        <v>512</v>
      </c>
      <c r="G44" s="11" t="s">
        <v>513</v>
      </c>
      <c r="H44" s="11" t="s">
        <v>514</v>
      </c>
      <c r="I44" s="10" t="s">
        <v>515</v>
      </c>
      <c r="J44" s="12" t="s">
        <v>516</v>
      </c>
      <c r="K44" s="13" t="s">
        <v>517</v>
      </c>
      <c r="L44" s="11">
        <f t="shared" si="39"/>
        <v>14</v>
      </c>
      <c r="M44" s="11" t="str">
        <f t="shared" si="40"/>
        <v>Lenda 2 tema 42</v>
      </c>
      <c r="N44" s="11" t="s">
        <v>518</v>
      </c>
      <c r="O44" s="11" t="s">
        <v>26</v>
      </c>
      <c r="P44" s="12" t="s">
        <v>519</v>
      </c>
      <c r="Q44" s="16"/>
      <c r="R44" s="20"/>
      <c r="S44" s="20"/>
    </row>
    <row r="45" ht="25.5" customHeight="1">
      <c r="A45" s="7">
        <v>43.0</v>
      </c>
      <c r="B45" s="8" t="s">
        <v>1357</v>
      </c>
      <c r="C45" s="9" t="s">
        <v>521</v>
      </c>
      <c r="D45" s="10" t="s">
        <v>522</v>
      </c>
      <c r="E45" s="10" t="s">
        <v>523</v>
      </c>
      <c r="F45" s="11" t="s">
        <v>524</v>
      </c>
      <c r="G45" s="11" t="s">
        <v>525</v>
      </c>
      <c r="H45" s="11" t="s">
        <v>526</v>
      </c>
      <c r="I45" s="10" t="s">
        <v>527</v>
      </c>
      <c r="J45" s="12" t="s">
        <v>528</v>
      </c>
      <c r="K45" s="13" t="s">
        <v>529</v>
      </c>
      <c r="L45" s="11">
        <f t="shared" ref="L45:M45" si="41">A45</f>
        <v>43</v>
      </c>
      <c r="M45" s="11" t="str">
        <f t="shared" si="41"/>
        <v>Lenda 2 tema 43</v>
      </c>
      <c r="N45" s="11" t="s">
        <v>530</v>
      </c>
      <c r="O45" s="11" t="s">
        <v>26</v>
      </c>
      <c r="P45" s="12" t="s">
        <v>531</v>
      </c>
      <c r="Q45" s="14">
        <v>15.0</v>
      </c>
      <c r="R45" s="20"/>
      <c r="S45" s="20"/>
    </row>
    <row r="46" ht="25.5" customHeight="1">
      <c r="A46" s="7">
        <v>44.0</v>
      </c>
      <c r="B46" s="8" t="s">
        <v>1358</v>
      </c>
      <c r="C46" s="9" t="s">
        <v>533</v>
      </c>
      <c r="D46" s="10" t="s">
        <v>534</v>
      </c>
      <c r="E46" s="10" t="s">
        <v>535</v>
      </c>
      <c r="F46" s="11" t="s">
        <v>536</v>
      </c>
      <c r="G46" s="11" t="s">
        <v>537</v>
      </c>
      <c r="H46" s="11" t="s">
        <v>538</v>
      </c>
      <c r="I46" s="10" t="s">
        <v>539</v>
      </c>
      <c r="J46" s="12" t="s">
        <v>540</v>
      </c>
      <c r="K46" s="13" t="s">
        <v>541</v>
      </c>
      <c r="L46" s="11">
        <f t="shared" ref="L46:M46" si="42">A46</f>
        <v>44</v>
      </c>
      <c r="M46" s="11" t="str">
        <f t="shared" si="42"/>
        <v>Lenda 2 tema 44</v>
      </c>
      <c r="N46" s="11" t="s">
        <v>542</v>
      </c>
      <c r="O46" s="11" t="s">
        <v>26</v>
      </c>
      <c r="P46" s="12" t="s">
        <v>543</v>
      </c>
      <c r="Q46" s="15"/>
      <c r="R46" s="20"/>
      <c r="S46" s="20"/>
    </row>
    <row r="47" ht="76.5" customHeight="1">
      <c r="A47" s="7">
        <v>45.0</v>
      </c>
      <c r="B47" s="8" t="s">
        <v>1359</v>
      </c>
      <c r="C47" s="9" t="s">
        <v>545</v>
      </c>
      <c r="D47" s="10" t="s">
        <v>546</v>
      </c>
      <c r="E47" s="10" t="s">
        <v>547</v>
      </c>
      <c r="F47" s="11" t="s">
        <v>548</v>
      </c>
      <c r="G47" s="11" t="s">
        <v>549</v>
      </c>
      <c r="H47" s="11" t="s">
        <v>550</v>
      </c>
      <c r="I47" s="10" t="s">
        <v>551</v>
      </c>
      <c r="J47" s="12" t="s">
        <v>552</v>
      </c>
      <c r="K47" s="13" t="s">
        <v>553</v>
      </c>
      <c r="L47" s="11">
        <f t="shared" ref="L47:M47" si="43">A47</f>
        <v>45</v>
      </c>
      <c r="M47" s="11" t="str">
        <f t="shared" si="43"/>
        <v>Lenda 2 tema 45</v>
      </c>
      <c r="N47" s="11" t="s">
        <v>554</v>
      </c>
      <c r="O47" s="11" t="s">
        <v>26</v>
      </c>
      <c r="P47" s="12" t="s">
        <v>555</v>
      </c>
      <c r="Q47" s="16"/>
      <c r="R47" s="20"/>
      <c r="S47" s="20"/>
    </row>
    <row r="48" ht="76.5" customHeight="1">
      <c r="A48" s="7">
        <v>46.0</v>
      </c>
      <c r="B48" s="8" t="s">
        <v>1360</v>
      </c>
      <c r="C48" s="9" t="s">
        <v>557</v>
      </c>
      <c r="D48" s="10" t="s">
        <v>558</v>
      </c>
      <c r="E48" s="10" t="s">
        <v>559</v>
      </c>
      <c r="F48" s="11" t="s">
        <v>560</v>
      </c>
      <c r="G48" s="11" t="s">
        <v>561</v>
      </c>
      <c r="H48" s="11" t="s">
        <v>562</v>
      </c>
      <c r="I48" s="10" t="s">
        <v>563</v>
      </c>
      <c r="J48" s="12" t="s">
        <v>564</v>
      </c>
      <c r="K48" s="13" t="s">
        <v>565</v>
      </c>
      <c r="L48" s="11">
        <f t="shared" ref="L48:M48" si="44">A48</f>
        <v>46</v>
      </c>
      <c r="M48" s="11" t="str">
        <f t="shared" si="44"/>
        <v>Lenda 2 tema 46</v>
      </c>
      <c r="N48" s="11" t="s">
        <v>566</v>
      </c>
      <c r="O48" s="11" t="s">
        <v>26</v>
      </c>
      <c r="P48" s="12" t="s">
        <v>567</v>
      </c>
      <c r="Q48" s="14">
        <v>16.0</v>
      </c>
      <c r="R48" s="20"/>
      <c r="S48" s="20"/>
    </row>
    <row r="49" ht="25.5" customHeight="1">
      <c r="A49" s="7">
        <v>47.0</v>
      </c>
      <c r="B49" s="8" t="s">
        <v>1361</v>
      </c>
      <c r="C49" s="9" t="s">
        <v>569</v>
      </c>
      <c r="D49" s="10" t="s">
        <v>570</v>
      </c>
      <c r="E49" s="10" t="s">
        <v>571</v>
      </c>
      <c r="F49" s="11" t="s">
        <v>572</v>
      </c>
      <c r="G49" s="11" t="s">
        <v>573</v>
      </c>
      <c r="H49" s="11" t="s">
        <v>574</v>
      </c>
      <c r="I49" s="10" t="s">
        <v>575</v>
      </c>
      <c r="J49" s="12" t="s">
        <v>576</v>
      </c>
      <c r="K49" s="13" t="s">
        <v>577</v>
      </c>
      <c r="L49" s="11">
        <f t="shared" ref="L49:M49" si="45">A49</f>
        <v>47</v>
      </c>
      <c r="M49" s="11" t="str">
        <f t="shared" si="45"/>
        <v>Lenda 2 tema 47</v>
      </c>
      <c r="N49" s="11" t="s">
        <v>578</v>
      </c>
      <c r="O49" s="11" t="s">
        <v>26</v>
      </c>
      <c r="P49" s="12" t="s">
        <v>579</v>
      </c>
      <c r="Q49" s="15"/>
      <c r="R49" s="20"/>
      <c r="S49" s="20"/>
    </row>
    <row r="50" ht="25.5" customHeight="1">
      <c r="A50" s="7">
        <v>48.0</v>
      </c>
      <c r="B50" s="8" t="s">
        <v>1362</v>
      </c>
      <c r="C50" s="9" t="s">
        <v>581</v>
      </c>
      <c r="D50" s="10" t="s">
        <v>582</v>
      </c>
      <c r="E50" s="10" t="s">
        <v>583</v>
      </c>
      <c r="F50" s="11" t="s">
        <v>584</v>
      </c>
      <c r="G50" s="11" t="s">
        <v>585</v>
      </c>
      <c r="H50" s="11" t="s">
        <v>586</v>
      </c>
      <c r="I50" s="10" t="s">
        <v>587</v>
      </c>
      <c r="J50" s="12" t="s">
        <v>588</v>
      </c>
      <c r="K50" s="13" t="s">
        <v>589</v>
      </c>
      <c r="L50" s="11">
        <f t="shared" ref="L50:M50" si="46">A50</f>
        <v>48</v>
      </c>
      <c r="M50" s="11" t="str">
        <f t="shared" si="46"/>
        <v>Lenda 2 tema 48</v>
      </c>
      <c r="N50" s="11" t="s">
        <v>590</v>
      </c>
      <c r="O50" s="11" t="s">
        <v>26</v>
      </c>
      <c r="P50" s="12" t="s">
        <v>591</v>
      </c>
      <c r="Q50" s="16"/>
      <c r="R50" s="20"/>
      <c r="S50" s="20"/>
    </row>
    <row r="51" ht="63.75" customHeight="1">
      <c r="A51" s="7">
        <v>49.0</v>
      </c>
      <c r="B51" s="8" t="s">
        <v>1363</v>
      </c>
      <c r="C51" s="9" t="s">
        <v>593</v>
      </c>
      <c r="D51" s="10" t="s">
        <v>594</v>
      </c>
      <c r="E51" s="10" t="s">
        <v>595</v>
      </c>
      <c r="F51" s="11" t="s">
        <v>596</v>
      </c>
      <c r="G51" s="11" t="s">
        <v>597</v>
      </c>
      <c r="H51" s="11" t="s">
        <v>598</v>
      </c>
      <c r="I51" s="10" t="s">
        <v>599</v>
      </c>
      <c r="J51" s="12" t="s">
        <v>600</v>
      </c>
      <c r="K51" s="13" t="s">
        <v>601</v>
      </c>
      <c r="L51" s="11">
        <f t="shared" ref="L51:M51" si="47">A51</f>
        <v>49</v>
      </c>
      <c r="M51" s="11" t="str">
        <f t="shared" si="47"/>
        <v>Lenda 2 tema 49</v>
      </c>
      <c r="N51" s="11" t="s">
        <v>602</v>
      </c>
      <c r="O51" s="11" t="s">
        <v>26</v>
      </c>
      <c r="P51" s="12" t="s">
        <v>603</v>
      </c>
      <c r="Q51" s="14">
        <v>17.0</v>
      </c>
      <c r="R51" s="20"/>
      <c r="S51" s="20"/>
    </row>
    <row r="52" ht="38.25" customHeight="1">
      <c r="A52" s="7">
        <v>50.0</v>
      </c>
      <c r="B52" s="8" t="s">
        <v>1364</v>
      </c>
      <c r="C52" s="9" t="s">
        <v>605</v>
      </c>
      <c r="D52" s="10" t="s">
        <v>606</v>
      </c>
      <c r="E52" s="10" t="s">
        <v>607</v>
      </c>
      <c r="F52" s="11" t="s">
        <v>608</v>
      </c>
      <c r="G52" s="11" t="s">
        <v>609</v>
      </c>
      <c r="H52" s="11" t="s">
        <v>610</v>
      </c>
      <c r="I52" s="10" t="s">
        <v>611</v>
      </c>
      <c r="J52" s="12" t="s">
        <v>612</v>
      </c>
      <c r="K52" s="13" t="s">
        <v>613</v>
      </c>
      <c r="L52" s="11">
        <f t="shared" ref="L52:M52" si="48">A52</f>
        <v>50</v>
      </c>
      <c r="M52" s="11" t="str">
        <f t="shared" si="48"/>
        <v>Lenda 2 tema 50</v>
      </c>
      <c r="N52" s="11" t="s">
        <v>614</v>
      </c>
      <c r="O52" s="11" t="s">
        <v>26</v>
      </c>
      <c r="P52" s="12" t="s">
        <v>615</v>
      </c>
      <c r="Q52" s="15"/>
      <c r="R52" s="20"/>
      <c r="S52" s="20"/>
    </row>
    <row r="53" ht="51.0" customHeight="1">
      <c r="A53" s="7">
        <v>51.0</v>
      </c>
      <c r="B53" s="8" t="s">
        <v>1365</v>
      </c>
      <c r="C53" s="9" t="s">
        <v>617</v>
      </c>
      <c r="D53" s="10" t="s">
        <v>618</v>
      </c>
      <c r="E53" s="10" t="s">
        <v>619</v>
      </c>
      <c r="F53" s="11" t="s">
        <v>620</v>
      </c>
      <c r="G53" s="11" t="s">
        <v>621</v>
      </c>
      <c r="H53" s="11" t="s">
        <v>622</v>
      </c>
      <c r="I53" s="10" t="s">
        <v>623</v>
      </c>
      <c r="J53" s="12" t="s">
        <v>624</v>
      </c>
      <c r="K53" s="13" t="s">
        <v>625</v>
      </c>
      <c r="L53" s="11">
        <f t="shared" ref="L53:M53" si="49">A53</f>
        <v>51</v>
      </c>
      <c r="M53" s="11" t="str">
        <f t="shared" si="49"/>
        <v>Lenda 2 tema 51</v>
      </c>
      <c r="N53" s="11" t="s">
        <v>626</v>
      </c>
      <c r="O53" s="11" t="s">
        <v>26</v>
      </c>
      <c r="P53" s="12" t="s">
        <v>627</v>
      </c>
      <c r="Q53" s="16"/>
      <c r="R53" s="20"/>
      <c r="S53" s="20"/>
    </row>
    <row r="54" ht="76.5" customHeight="1">
      <c r="A54" s="7">
        <v>52.0</v>
      </c>
      <c r="B54" s="8" t="s">
        <v>1366</v>
      </c>
      <c r="C54" s="9" t="s">
        <v>629</v>
      </c>
      <c r="D54" s="10" t="s">
        <v>630</v>
      </c>
      <c r="E54" s="10" t="s">
        <v>631</v>
      </c>
      <c r="F54" s="11" t="s">
        <v>632</v>
      </c>
      <c r="G54" s="11" t="s">
        <v>633</v>
      </c>
      <c r="H54" s="11" t="s">
        <v>634</v>
      </c>
      <c r="I54" s="10" t="s">
        <v>635</v>
      </c>
      <c r="J54" s="12" t="s">
        <v>636</v>
      </c>
      <c r="K54" s="13" t="s">
        <v>637</v>
      </c>
      <c r="L54" s="11">
        <f t="shared" ref="L54:M54" si="50">A54</f>
        <v>52</v>
      </c>
      <c r="M54" s="11" t="str">
        <f t="shared" si="50"/>
        <v>Lenda 2 tema 52</v>
      </c>
      <c r="N54" s="11" t="s">
        <v>638</v>
      </c>
      <c r="O54" s="11" t="s">
        <v>26</v>
      </c>
      <c r="P54" s="12" t="s">
        <v>639</v>
      </c>
      <c r="Q54" s="14">
        <v>18.0</v>
      </c>
      <c r="R54" s="20"/>
      <c r="S54" s="20"/>
    </row>
    <row r="55" ht="27.75" customHeight="1">
      <c r="A55" s="7">
        <v>53.0</v>
      </c>
      <c r="B55" s="8" t="s">
        <v>1367</v>
      </c>
      <c r="C55" s="9" t="s">
        <v>641</v>
      </c>
      <c r="D55" s="10" t="s">
        <v>642</v>
      </c>
      <c r="E55" s="10" t="s">
        <v>643</v>
      </c>
      <c r="F55" s="11" t="s">
        <v>644</v>
      </c>
      <c r="G55" s="11" t="s">
        <v>645</v>
      </c>
      <c r="H55" s="11" t="s">
        <v>646</v>
      </c>
      <c r="I55" s="10" t="s">
        <v>647</v>
      </c>
      <c r="J55" s="12" t="s">
        <v>648</v>
      </c>
      <c r="K55" s="13" t="s">
        <v>649</v>
      </c>
      <c r="L55" s="11">
        <f t="shared" ref="L55:M55" si="51">A55</f>
        <v>53</v>
      </c>
      <c r="M55" s="11" t="str">
        <f t="shared" si="51"/>
        <v>Lenda 2 tema 53</v>
      </c>
      <c r="N55" s="11" t="s">
        <v>650</v>
      </c>
      <c r="O55" s="11" t="s">
        <v>26</v>
      </c>
      <c r="P55" s="12" t="s">
        <v>651</v>
      </c>
      <c r="Q55" s="15"/>
      <c r="R55" s="20"/>
      <c r="S55" s="20"/>
    </row>
    <row r="56" ht="25.5" customHeight="1">
      <c r="A56" s="7">
        <v>54.0</v>
      </c>
      <c r="B56" s="8" t="s">
        <v>1368</v>
      </c>
      <c r="C56" s="9" t="s">
        <v>653</v>
      </c>
      <c r="D56" s="10" t="s">
        <v>654</v>
      </c>
      <c r="E56" s="10" t="s">
        <v>655</v>
      </c>
      <c r="F56" s="11" t="s">
        <v>656</v>
      </c>
      <c r="G56" s="11" t="s">
        <v>657</v>
      </c>
      <c r="H56" s="11" t="s">
        <v>658</v>
      </c>
      <c r="I56" s="10" t="s">
        <v>659</v>
      </c>
      <c r="J56" s="12" t="s">
        <v>660</v>
      </c>
      <c r="K56" s="13" t="s">
        <v>661</v>
      </c>
      <c r="L56" s="11">
        <f t="shared" ref="L56:M56" si="52">A56</f>
        <v>54</v>
      </c>
      <c r="M56" s="11" t="str">
        <f t="shared" si="52"/>
        <v>Lenda 2 tema 54</v>
      </c>
      <c r="N56" s="11" t="s">
        <v>662</v>
      </c>
      <c r="O56" s="11" t="s">
        <v>26</v>
      </c>
      <c r="P56" s="12" t="s">
        <v>663</v>
      </c>
      <c r="Q56" s="16"/>
      <c r="R56" s="20"/>
      <c r="S56" s="20"/>
    </row>
    <row r="57" ht="38.25" customHeight="1">
      <c r="A57" s="7">
        <v>55.0</v>
      </c>
      <c r="B57" s="8" t="s">
        <v>1369</v>
      </c>
      <c r="C57" s="9" t="s">
        <v>665</v>
      </c>
      <c r="D57" s="10" t="s">
        <v>666</v>
      </c>
      <c r="E57" s="10" t="s">
        <v>667</v>
      </c>
      <c r="F57" s="11" t="s">
        <v>668</v>
      </c>
      <c r="G57" s="11" t="s">
        <v>669</v>
      </c>
      <c r="H57" s="11" t="s">
        <v>670</v>
      </c>
      <c r="I57" s="10" t="s">
        <v>671</v>
      </c>
      <c r="J57" s="12" t="s">
        <v>672</v>
      </c>
      <c r="K57" s="13" t="s">
        <v>673</v>
      </c>
      <c r="L57" s="11">
        <f t="shared" ref="L57:M57" si="53">A57</f>
        <v>55</v>
      </c>
      <c r="M57" s="11" t="str">
        <f t="shared" si="53"/>
        <v>Lenda 2 tema 55</v>
      </c>
      <c r="N57" s="11" t="s">
        <v>674</v>
      </c>
      <c r="O57" s="11" t="s">
        <v>26</v>
      </c>
      <c r="P57" s="12" t="s">
        <v>675</v>
      </c>
      <c r="Q57" s="14">
        <v>19.0</v>
      </c>
      <c r="R57" s="20"/>
      <c r="S57" s="20"/>
    </row>
    <row r="58" ht="25.5" customHeight="1">
      <c r="A58" s="7">
        <v>56.0</v>
      </c>
      <c r="B58" s="8" t="s">
        <v>1370</v>
      </c>
      <c r="C58" s="9" t="s">
        <v>677</v>
      </c>
      <c r="D58" s="10" t="s">
        <v>678</v>
      </c>
      <c r="E58" s="10" t="s">
        <v>679</v>
      </c>
      <c r="F58" s="11" t="s">
        <v>680</v>
      </c>
      <c r="G58" s="11" t="s">
        <v>681</v>
      </c>
      <c r="H58" s="11" t="s">
        <v>682</v>
      </c>
      <c r="I58" s="10" t="s">
        <v>683</v>
      </c>
      <c r="J58" s="12" t="s">
        <v>684</v>
      </c>
      <c r="K58" s="13" t="s">
        <v>685</v>
      </c>
      <c r="L58" s="11">
        <f t="shared" ref="L58:M58" si="54">A58</f>
        <v>56</v>
      </c>
      <c r="M58" s="11" t="str">
        <f t="shared" si="54"/>
        <v>Lenda 2 tema 56</v>
      </c>
      <c r="N58" s="11" t="s">
        <v>686</v>
      </c>
      <c r="O58" s="11" t="s">
        <v>26</v>
      </c>
      <c r="P58" s="12" t="s">
        <v>687</v>
      </c>
      <c r="Q58" s="15"/>
      <c r="R58" s="20"/>
      <c r="S58" s="20"/>
    </row>
    <row r="59" ht="25.5" customHeight="1">
      <c r="A59" s="7">
        <v>57.0</v>
      </c>
      <c r="B59" s="8" t="s">
        <v>1371</v>
      </c>
      <c r="C59" s="9" t="s">
        <v>689</v>
      </c>
      <c r="D59" s="10" t="s">
        <v>690</v>
      </c>
      <c r="E59" s="10" t="s">
        <v>691</v>
      </c>
      <c r="F59" s="11" t="s">
        <v>692</v>
      </c>
      <c r="G59" s="11" t="s">
        <v>693</v>
      </c>
      <c r="H59" s="11" t="s">
        <v>694</v>
      </c>
      <c r="I59" s="10" t="s">
        <v>695</v>
      </c>
      <c r="J59" s="12" t="s">
        <v>696</v>
      </c>
      <c r="K59" s="13" t="s">
        <v>697</v>
      </c>
      <c r="L59" s="11">
        <f t="shared" ref="L59:M59" si="55">A59</f>
        <v>57</v>
      </c>
      <c r="M59" s="11" t="str">
        <f t="shared" si="55"/>
        <v>Lenda 2 tema 57</v>
      </c>
      <c r="N59" s="11" t="s">
        <v>698</v>
      </c>
      <c r="O59" s="11" t="s">
        <v>26</v>
      </c>
      <c r="P59" s="12" t="s">
        <v>699</v>
      </c>
      <c r="Q59" s="16"/>
      <c r="R59" s="20"/>
      <c r="S59" s="20"/>
    </row>
    <row r="60" ht="25.5" customHeight="1">
      <c r="A60" s="7">
        <v>58.0</v>
      </c>
      <c r="B60" s="8" t="s">
        <v>1372</v>
      </c>
      <c r="C60" s="9" t="s">
        <v>701</v>
      </c>
      <c r="D60" s="10" t="s">
        <v>702</v>
      </c>
      <c r="E60" s="10" t="s">
        <v>703</v>
      </c>
      <c r="F60" s="11" t="s">
        <v>704</v>
      </c>
      <c r="G60" s="11" t="s">
        <v>705</v>
      </c>
      <c r="H60" s="11" t="s">
        <v>706</v>
      </c>
      <c r="I60" s="10" t="s">
        <v>707</v>
      </c>
      <c r="J60" s="12" t="s">
        <v>708</v>
      </c>
      <c r="K60" s="13" t="s">
        <v>709</v>
      </c>
      <c r="L60" s="11">
        <f t="shared" ref="L60:M60" si="56">A60</f>
        <v>58</v>
      </c>
      <c r="M60" s="11" t="str">
        <f t="shared" si="56"/>
        <v>Lenda 2 tema 58</v>
      </c>
      <c r="N60" s="11" t="s">
        <v>710</v>
      </c>
      <c r="O60" s="11" t="s">
        <v>26</v>
      </c>
      <c r="P60" s="12" t="s">
        <v>711</v>
      </c>
      <c r="Q60" s="14">
        <v>20.0</v>
      </c>
      <c r="R60" s="20"/>
      <c r="S60" s="20"/>
    </row>
    <row r="61" ht="30.0" customHeight="1">
      <c r="A61" s="7">
        <v>59.0</v>
      </c>
      <c r="B61" s="8" t="s">
        <v>1373</v>
      </c>
      <c r="C61" s="9" t="s">
        <v>713</v>
      </c>
      <c r="D61" s="10" t="s">
        <v>714</v>
      </c>
      <c r="E61" s="10" t="s">
        <v>715</v>
      </c>
      <c r="F61" s="11" t="s">
        <v>716</v>
      </c>
      <c r="G61" s="11" t="s">
        <v>717</v>
      </c>
      <c r="H61" s="11" t="s">
        <v>718</v>
      </c>
      <c r="I61" s="10" t="s">
        <v>719</v>
      </c>
      <c r="J61" s="12" t="s">
        <v>720</v>
      </c>
      <c r="K61" s="13" t="s">
        <v>721</v>
      </c>
      <c r="L61" s="11">
        <f t="shared" ref="L61:M61" si="57">A61</f>
        <v>59</v>
      </c>
      <c r="M61" s="11" t="str">
        <f t="shared" si="57"/>
        <v>Lenda 2 tema 59</v>
      </c>
      <c r="N61" s="11" t="s">
        <v>722</v>
      </c>
      <c r="O61" s="11" t="s">
        <v>26</v>
      </c>
      <c r="P61" s="12" t="s">
        <v>723</v>
      </c>
      <c r="Q61" s="15"/>
      <c r="R61" s="20"/>
      <c r="S61" s="20"/>
    </row>
    <row r="62" ht="25.5" customHeight="1">
      <c r="A62" s="7">
        <v>60.0</v>
      </c>
      <c r="B62" s="8" t="s">
        <v>1374</v>
      </c>
      <c r="C62" s="9" t="s">
        <v>725</v>
      </c>
      <c r="D62" s="10" t="s">
        <v>726</v>
      </c>
      <c r="E62" s="10" t="s">
        <v>727</v>
      </c>
      <c r="F62" s="11" t="s">
        <v>728</v>
      </c>
      <c r="G62" s="11" t="s">
        <v>729</v>
      </c>
      <c r="H62" s="11" t="s">
        <v>730</v>
      </c>
      <c r="I62" s="10" t="s">
        <v>731</v>
      </c>
      <c r="J62" s="12" t="s">
        <v>732</v>
      </c>
      <c r="K62" s="13" t="s">
        <v>733</v>
      </c>
      <c r="L62" s="11">
        <f t="shared" ref="L62:M62" si="58">A62</f>
        <v>60</v>
      </c>
      <c r="M62" s="11" t="str">
        <f t="shared" si="58"/>
        <v>Lenda 2 tema 60</v>
      </c>
      <c r="N62" s="11" t="s">
        <v>734</v>
      </c>
      <c r="O62" s="11" t="s">
        <v>26</v>
      </c>
      <c r="P62" s="12" t="s">
        <v>735</v>
      </c>
      <c r="Q62" s="16"/>
      <c r="R62" s="20"/>
      <c r="S62" s="20"/>
    </row>
    <row r="63" ht="25.5" customHeight="1">
      <c r="A63" s="7">
        <v>61.0</v>
      </c>
      <c r="B63" s="8" t="s">
        <v>1375</v>
      </c>
      <c r="C63" s="9" t="s">
        <v>737</v>
      </c>
      <c r="D63" s="10" t="s">
        <v>738</v>
      </c>
      <c r="E63" s="10" t="s">
        <v>739</v>
      </c>
      <c r="F63" s="11" t="s">
        <v>740</v>
      </c>
      <c r="G63" s="11" t="s">
        <v>741</v>
      </c>
      <c r="H63" s="11" t="s">
        <v>742</v>
      </c>
      <c r="I63" s="10" t="s">
        <v>743</v>
      </c>
      <c r="J63" s="12" t="s">
        <v>744</v>
      </c>
      <c r="K63" s="13" t="s">
        <v>745</v>
      </c>
      <c r="L63" s="11">
        <f t="shared" ref="L63:M63" si="59">A63</f>
        <v>61</v>
      </c>
      <c r="M63" s="11" t="str">
        <f t="shared" si="59"/>
        <v>Lenda 2 tema 61</v>
      </c>
      <c r="N63" s="11" t="s">
        <v>746</v>
      </c>
      <c r="O63" s="11" t="s">
        <v>26</v>
      </c>
      <c r="P63" s="12" t="s">
        <v>747</v>
      </c>
      <c r="Q63" s="14">
        <v>21.0</v>
      </c>
      <c r="R63" s="20"/>
      <c r="S63" s="20"/>
    </row>
    <row r="64" ht="25.5" customHeight="1">
      <c r="A64" s="7">
        <v>62.0</v>
      </c>
      <c r="B64" s="8" t="s">
        <v>1376</v>
      </c>
      <c r="C64" s="9" t="s">
        <v>749</v>
      </c>
      <c r="D64" s="10" t="s">
        <v>750</v>
      </c>
      <c r="E64" s="10" t="s">
        <v>751</v>
      </c>
      <c r="F64" s="11" t="s">
        <v>752</v>
      </c>
      <c r="G64" s="11" t="s">
        <v>753</v>
      </c>
      <c r="H64" s="11" t="s">
        <v>754</v>
      </c>
      <c r="I64" s="10" t="s">
        <v>755</v>
      </c>
      <c r="J64" s="12" t="s">
        <v>756</v>
      </c>
      <c r="K64" s="13" t="s">
        <v>757</v>
      </c>
      <c r="L64" s="11">
        <f t="shared" ref="L64:M64" si="60">A64</f>
        <v>62</v>
      </c>
      <c r="M64" s="11" t="str">
        <f t="shared" si="60"/>
        <v>Lenda 2 tema 62</v>
      </c>
      <c r="N64" s="11" t="s">
        <v>758</v>
      </c>
      <c r="O64" s="11" t="s">
        <v>26</v>
      </c>
      <c r="P64" s="12" t="s">
        <v>759</v>
      </c>
      <c r="Q64" s="15"/>
      <c r="R64" s="20"/>
      <c r="S64" s="20"/>
    </row>
    <row r="65" ht="25.5" customHeight="1">
      <c r="A65" s="7">
        <v>63.0</v>
      </c>
      <c r="B65" s="8" t="s">
        <v>1377</v>
      </c>
      <c r="C65" s="9" t="s">
        <v>761</v>
      </c>
      <c r="D65" s="10" t="s">
        <v>762</v>
      </c>
      <c r="E65" s="10" t="s">
        <v>763</v>
      </c>
      <c r="F65" s="11" t="s">
        <v>764</v>
      </c>
      <c r="G65" s="11" t="s">
        <v>765</v>
      </c>
      <c r="H65" s="11" t="s">
        <v>766</v>
      </c>
      <c r="I65" s="10" t="s">
        <v>767</v>
      </c>
      <c r="J65" s="12" t="s">
        <v>768</v>
      </c>
      <c r="K65" s="13" t="s">
        <v>769</v>
      </c>
      <c r="L65" s="11">
        <f t="shared" ref="L65:L71" si="61">A65</f>
        <v>63</v>
      </c>
      <c r="M65" s="12" t="s">
        <v>770</v>
      </c>
      <c r="N65" s="11" t="s">
        <v>771</v>
      </c>
      <c r="O65" s="11" t="s">
        <v>26</v>
      </c>
      <c r="P65" s="12" t="s">
        <v>772</v>
      </c>
      <c r="Q65" s="16"/>
      <c r="R65" s="20"/>
      <c r="S65" s="20"/>
    </row>
    <row r="66" ht="38.25" customHeight="1">
      <c r="A66" s="7">
        <v>64.0</v>
      </c>
      <c r="B66" s="8" t="s">
        <v>1378</v>
      </c>
      <c r="C66" s="9" t="s">
        <v>774</v>
      </c>
      <c r="D66" s="10" t="s">
        <v>775</v>
      </c>
      <c r="E66" s="10" t="s">
        <v>776</v>
      </c>
      <c r="F66" s="11" t="s">
        <v>777</v>
      </c>
      <c r="G66" s="11" t="s">
        <v>778</v>
      </c>
      <c r="H66" s="11" t="s">
        <v>779</v>
      </c>
      <c r="I66" s="10" t="s">
        <v>780</v>
      </c>
      <c r="J66" s="12" t="s">
        <v>781</v>
      </c>
      <c r="K66" s="13" t="s">
        <v>782</v>
      </c>
      <c r="L66" s="11">
        <f t="shared" si="61"/>
        <v>64</v>
      </c>
      <c r="M66" s="11" t="str">
        <f t="shared" ref="M66:M71" si="62">B66</f>
        <v>Lenda 2 tema 64</v>
      </c>
      <c r="N66" s="11" t="s">
        <v>783</v>
      </c>
      <c r="O66" s="11" t="s">
        <v>26</v>
      </c>
      <c r="P66" s="12" t="s">
        <v>784</v>
      </c>
      <c r="Q66" s="14">
        <v>22.0</v>
      </c>
      <c r="R66" s="20"/>
      <c r="S66" s="20"/>
    </row>
    <row r="67" ht="25.5" customHeight="1">
      <c r="A67" s="7">
        <v>65.0</v>
      </c>
      <c r="B67" s="8" t="s">
        <v>1379</v>
      </c>
      <c r="C67" s="9" t="s">
        <v>786</v>
      </c>
      <c r="D67" s="10" t="s">
        <v>787</v>
      </c>
      <c r="E67" s="10" t="s">
        <v>788</v>
      </c>
      <c r="F67" s="11" t="s">
        <v>789</v>
      </c>
      <c r="G67" s="11" t="s">
        <v>790</v>
      </c>
      <c r="H67" s="11" t="s">
        <v>791</v>
      </c>
      <c r="I67" s="10" t="s">
        <v>792</v>
      </c>
      <c r="J67" s="12" t="s">
        <v>793</v>
      </c>
      <c r="K67" s="13" t="s">
        <v>794</v>
      </c>
      <c r="L67" s="11">
        <f t="shared" si="61"/>
        <v>65</v>
      </c>
      <c r="M67" s="11" t="str">
        <f t="shared" si="62"/>
        <v>Lenda 2 tema 65</v>
      </c>
      <c r="N67" s="11" t="s">
        <v>795</v>
      </c>
      <c r="O67" s="11" t="s">
        <v>26</v>
      </c>
      <c r="P67" s="12" t="s">
        <v>796</v>
      </c>
      <c r="Q67" s="15"/>
      <c r="R67" s="20"/>
      <c r="S67" s="20"/>
    </row>
    <row r="68" ht="38.25" customHeight="1">
      <c r="A68" s="7">
        <v>66.0</v>
      </c>
      <c r="B68" s="8" t="s">
        <v>1380</v>
      </c>
      <c r="C68" s="9" t="s">
        <v>798</v>
      </c>
      <c r="D68" s="10" t="s">
        <v>799</v>
      </c>
      <c r="E68" s="10" t="s">
        <v>800</v>
      </c>
      <c r="F68" s="11" t="s">
        <v>801</v>
      </c>
      <c r="G68" s="11" t="s">
        <v>802</v>
      </c>
      <c r="H68" s="11" t="s">
        <v>803</v>
      </c>
      <c r="I68" s="10" t="s">
        <v>804</v>
      </c>
      <c r="J68" s="12" t="s">
        <v>805</v>
      </c>
      <c r="K68" s="13" t="s">
        <v>806</v>
      </c>
      <c r="L68" s="11">
        <f t="shared" si="61"/>
        <v>66</v>
      </c>
      <c r="M68" s="11" t="str">
        <f t="shared" si="62"/>
        <v>Lenda 2 tema 66</v>
      </c>
      <c r="N68" s="11" t="s">
        <v>807</v>
      </c>
      <c r="O68" s="11" t="s">
        <v>26</v>
      </c>
      <c r="P68" s="12" t="s">
        <v>808</v>
      </c>
      <c r="Q68" s="16"/>
      <c r="R68" s="20"/>
      <c r="S68" s="20"/>
    </row>
    <row r="69" ht="38.25" customHeight="1">
      <c r="A69" s="7">
        <v>67.0</v>
      </c>
      <c r="B69" s="8" t="s">
        <v>1381</v>
      </c>
      <c r="C69" s="9" t="s">
        <v>810</v>
      </c>
      <c r="D69" s="10" t="s">
        <v>811</v>
      </c>
      <c r="E69" s="10" t="s">
        <v>812</v>
      </c>
      <c r="F69" s="11" t="s">
        <v>813</v>
      </c>
      <c r="G69" s="11" t="s">
        <v>814</v>
      </c>
      <c r="H69" s="11" t="s">
        <v>815</v>
      </c>
      <c r="I69" s="10" t="s">
        <v>816</v>
      </c>
      <c r="J69" s="12" t="s">
        <v>817</v>
      </c>
      <c r="K69" s="13" t="s">
        <v>818</v>
      </c>
      <c r="L69" s="11">
        <f t="shared" si="61"/>
        <v>67</v>
      </c>
      <c r="M69" s="11" t="str">
        <f t="shared" si="62"/>
        <v>Lenda 2 tema 67</v>
      </c>
      <c r="N69" s="11" t="s">
        <v>819</v>
      </c>
      <c r="O69" s="11" t="s">
        <v>26</v>
      </c>
      <c r="P69" s="12" t="s">
        <v>820</v>
      </c>
      <c r="Q69" s="14">
        <v>23.0</v>
      </c>
      <c r="R69" s="20"/>
      <c r="S69" s="20"/>
    </row>
    <row r="70" ht="25.5" customHeight="1">
      <c r="A70" s="7">
        <v>68.0</v>
      </c>
      <c r="B70" s="8" t="s">
        <v>1382</v>
      </c>
      <c r="C70" s="9" t="s">
        <v>822</v>
      </c>
      <c r="D70" s="10" t="s">
        <v>823</v>
      </c>
      <c r="E70" s="10" t="s">
        <v>824</v>
      </c>
      <c r="F70" s="11" t="s">
        <v>825</v>
      </c>
      <c r="G70" s="11" t="s">
        <v>826</v>
      </c>
      <c r="H70" s="11" t="s">
        <v>827</v>
      </c>
      <c r="I70" s="10" t="s">
        <v>828</v>
      </c>
      <c r="J70" s="12" t="s">
        <v>829</v>
      </c>
      <c r="K70" s="13" t="s">
        <v>830</v>
      </c>
      <c r="L70" s="11">
        <f t="shared" si="61"/>
        <v>68</v>
      </c>
      <c r="M70" s="11" t="str">
        <f t="shared" si="62"/>
        <v>Lenda 2 tema 68</v>
      </c>
      <c r="N70" s="11" t="s">
        <v>831</v>
      </c>
      <c r="O70" s="11" t="s">
        <v>26</v>
      </c>
      <c r="P70" s="12" t="s">
        <v>832</v>
      </c>
      <c r="Q70" s="15"/>
      <c r="R70" s="20"/>
      <c r="S70" s="20"/>
    </row>
    <row r="71" ht="25.5" customHeight="1">
      <c r="A71" s="7">
        <v>69.0</v>
      </c>
      <c r="B71" s="8" t="s">
        <v>1383</v>
      </c>
      <c r="C71" s="9" t="s">
        <v>834</v>
      </c>
      <c r="D71" s="10" t="s">
        <v>835</v>
      </c>
      <c r="E71" s="10" t="s">
        <v>836</v>
      </c>
      <c r="F71" s="11" t="s">
        <v>837</v>
      </c>
      <c r="G71" s="11" t="s">
        <v>838</v>
      </c>
      <c r="H71" s="11" t="s">
        <v>839</v>
      </c>
      <c r="I71" s="10" t="s">
        <v>840</v>
      </c>
      <c r="J71" s="12" t="s">
        <v>841</v>
      </c>
      <c r="K71" s="13" t="s">
        <v>842</v>
      </c>
      <c r="L71" s="11">
        <f t="shared" si="61"/>
        <v>69</v>
      </c>
      <c r="M71" s="11" t="str">
        <f t="shared" si="62"/>
        <v>Lenda 2 tema 69</v>
      </c>
      <c r="N71" s="11" t="s">
        <v>843</v>
      </c>
      <c r="O71" s="11" t="s">
        <v>26</v>
      </c>
      <c r="P71" s="12" t="s">
        <v>844</v>
      </c>
      <c r="Q71" s="16"/>
      <c r="R71" s="20"/>
      <c r="S71" s="20"/>
    </row>
    <row r="72" ht="25.5" customHeight="1">
      <c r="A72" s="7">
        <v>70.0</v>
      </c>
      <c r="B72" s="8" t="s">
        <v>1384</v>
      </c>
      <c r="C72" s="9" t="s">
        <v>846</v>
      </c>
      <c r="D72" s="10" t="s">
        <v>847</v>
      </c>
      <c r="E72" s="10" t="s">
        <v>848</v>
      </c>
      <c r="F72" s="11" t="s">
        <v>849</v>
      </c>
      <c r="G72" s="11" t="s">
        <v>850</v>
      </c>
      <c r="H72" s="11" t="s">
        <v>851</v>
      </c>
      <c r="I72" s="10" t="s">
        <v>852</v>
      </c>
      <c r="J72" s="12" t="s">
        <v>853</v>
      </c>
      <c r="K72" s="13" t="s">
        <v>854</v>
      </c>
      <c r="L72" s="11">
        <v>48.0</v>
      </c>
      <c r="M72" s="11" t="s">
        <v>855</v>
      </c>
      <c r="N72" s="11" t="s">
        <v>856</v>
      </c>
      <c r="O72" s="11" t="s">
        <v>26</v>
      </c>
      <c r="P72" s="12" t="s">
        <v>857</v>
      </c>
      <c r="Q72" s="14">
        <v>24.0</v>
      </c>
      <c r="R72" s="20"/>
      <c r="S72" s="20"/>
    </row>
    <row r="73" ht="25.5" customHeight="1">
      <c r="A73" s="7">
        <v>71.0</v>
      </c>
      <c r="B73" s="8" t="s">
        <v>1385</v>
      </c>
      <c r="C73" s="9" t="s">
        <v>859</v>
      </c>
      <c r="D73" s="10" t="s">
        <v>860</v>
      </c>
      <c r="E73" s="10" t="s">
        <v>861</v>
      </c>
      <c r="F73" s="11" t="s">
        <v>862</v>
      </c>
      <c r="G73" s="11" t="s">
        <v>863</v>
      </c>
      <c r="H73" s="11" t="s">
        <v>864</v>
      </c>
      <c r="I73" s="10" t="s">
        <v>865</v>
      </c>
      <c r="J73" s="12" t="s">
        <v>866</v>
      </c>
      <c r="K73" s="13" t="s">
        <v>867</v>
      </c>
      <c r="L73" s="11">
        <f t="shared" ref="L73:M73" si="63">A73</f>
        <v>71</v>
      </c>
      <c r="M73" s="11" t="str">
        <f t="shared" si="63"/>
        <v>Lenda 2 tema 71</v>
      </c>
      <c r="N73" s="11" t="s">
        <v>868</v>
      </c>
      <c r="O73" s="11" t="s">
        <v>26</v>
      </c>
      <c r="P73" s="12" t="s">
        <v>869</v>
      </c>
      <c r="Q73" s="15"/>
      <c r="R73" s="20"/>
      <c r="S73" s="20"/>
    </row>
    <row r="74" ht="25.5" customHeight="1">
      <c r="A74" s="7">
        <v>72.0</v>
      </c>
      <c r="B74" s="8" t="s">
        <v>1386</v>
      </c>
      <c r="C74" s="9" t="s">
        <v>871</v>
      </c>
      <c r="D74" s="10" t="s">
        <v>872</v>
      </c>
      <c r="E74" s="10" t="s">
        <v>873</v>
      </c>
      <c r="F74" s="11" t="s">
        <v>874</v>
      </c>
      <c r="G74" s="11" t="s">
        <v>875</v>
      </c>
      <c r="H74" s="11" t="s">
        <v>876</v>
      </c>
      <c r="I74" s="10" t="s">
        <v>877</v>
      </c>
      <c r="J74" s="12" t="s">
        <v>878</v>
      </c>
      <c r="K74" s="13" t="s">
        <v>879</v>
      </c>
      <c r="L74" s="11">
        <f t="shared" ref="L74:M74" si="64">A74</f>
        <v>72</v>
      </c>
      <c r="M74" s="11" t="str">
        <f t="shared" si="64"/>
        <v>Lenda 2 tema 72</v>
      </c>
      <c r="N74" s="11" t="s">
        <v>880</v>
      </c>
      <c r="O74" s="11" t="s">
        <v>26</v>
      </c>
      <c r="P74" s="12" t="s">
        <v>881</v>
      </c>
      <c r="Q74" s="16"/>
      <c r="R74" s="20"/>
      <c r="S74" s="20"/>
    </row>
    <row r="75" ht="25.5" customHeight="1">
      <c r="A75" s="7">
        <v>73.0</v>
      </c>
      <c r="B75" s="8" t="s">
        <v>1387</v>
      </c>
      <c r="C75" s="9" t="s">
        <v>883</v>
      </c>
      <c r="D75" s="10" t="s">
        <v>884</v>
      </c>
      <c r="E75" s="10" t="s">
        <v>885</v>
      </c>
      <c r="F75" s="11" t="s">
        <v>886</v>
      </c>
      <c r="G75" s="11" t="s">
        <v>887</v>
      </c>
      <c r="H75" s="11" t="s">
        <v>888</v>
      </c>
      <c r="I75" s="10" t="s">
        <v>889</v>
      </c>
      <c r="J75" s="12" t="s">
        <v>890</v>
      </c>
      <c r="K75" s="13" t="s">
        <v>891</v>
      </c>
      <c r="L75" s="11">
        <f t="shared" ref="L75:M75" si="65">A75</f>
        <v>73</v>
      </c>
      <c r="M75" s="11" t="str">
        <f t="shared" si="65"/>
        <v>Lenda 2 tema 73</v>
      </c>
      <c r="N75" s="11" t="s">
        <v>892</v>
      </c>
      <c r="O75" s="11" t="s">
        <v>26</v>
      </c>
      <c r="P75" s="12" t="s">
        <v>893</v>
      </c>
      <c r="Q75" s="14">
        <v>25.0</v>
      </c>
      <c r="R75" s="20"/>
      <c r="S75" s="20"/>
    </row>
    <row r="76" ht="51.0" customHeight="1">
      <c r="A76" s="7">
        <v>74.0</v>
      </c>
      <c r="B76" s="8" t="s">
        <v>1388</v>
      </c>
      <c r="C76" s="9" t="s">
        <v>895</v>
      </c>
      <c r="D76" s="10" t="s">
        <v>896</v>
      </c>
      <c r="E76" s="10" t="s">
        <v>897</v>
      </c>
      <c r="F76" s="11" t="s">
        <v>898</v>
      </c>
      <c r="G76" s="11" t="s">
        <v>899</v>
      </c>
      <c r="H76" s="11" t="s">
        <v>900</v>
      </c>
      <c r="I76" s="10" t="s">
        <v>901</v>
      </c>
      <c r="J76" s="12" t="s">
        <v>902</v>
      </c>
      <c r="K76" s="13" t="s">
        <v>903</v>
      </c>
      <c r="L76" s="11">
        <f t="shared" ref="L76:M76" si="66">A76</f>
        <v>74</v>
      </c>
      <c r="M76" s="11" t="str">
        <f t="shared" si="66"/>
        <v>Lenda 2 tema 74</v>
      </c>
      <c r="N76" s="11" t="s">
        <v>904</v>
      </c>
      <c r="O76" s="11" t="s">
        <v>26</v>
      </c>
      <c r="P76" s="12" t="s">
        <v>905</v>
      </c>
      <c r="Q76" s="15"/>
      <c r="R76" s="20"/>
      <c r="S76" s="20"/>
    </row>
    <row r="77" ht="25.5" customHeight="1">
      <c r="A77" s="7">
        <v>75.0</v>
      </c>
      <c r="B77" s="8" t="s">
        <v>1389</v>
      </c>
      <c r="C77" s="9" t="s">
        <v>907</v>
      </c>
      <c r="D77" s="10" t="s">
        <v>908</v>
      </c>
      <c r="E77" s="10" t="s">
        <v>909</v>
      </c>
      <c r="F77" s="11" t="s">
        <v>910</v>
      </c>
      <c r="G77" s="11" t="s">
        <v>911</v>
      </c>
      <c r="H77" s="11" t="s">
        <v>912</v>
      </c>
      <c r="I77" s="10" t="s">
        <v>913</v>
      </c>
      <c r="J77" s="12" t="s">
        <v>914</v>
      </c>
      <c r="K77" s="13" t="s">
        <v>915</v>
      </c>
      <c r="L77" s="11">
        <f t="shared" ref="L77:M77" si="67">A77</f>
        <v>75</v>
      </c>
      <c r="M77" s="11" t="str">
        <f t="shared" si="67"/>
        <v>Lenda 2 tema 75</v>
      </c>
      <c r="N77" s="11" t="s">
        <v>916</v>
      </c>
      <c r="O77" s="11" t="s">
        <v>26</v>
      </c>
      <c r="P77" s="12" t="s">
        <v>917</v>
      </c>
      <c r="Q77" s="16"/>
      <c r="R77" s="20"/>
      <c r="S77" s="20"/>
    </row>
    <row r="78" ht="25.5" customHeight="1">
      <c r="A78" s="7">
        <v>76.0</v>
      </c>
      <c r="B78" s="8" t="s">
        <v>1390</v>
      </c>
      <c r="C78" s="9" t="s">
        <v>919</v>
      </c>
      <c r="D78" s="10" t="s">
        <v>920</v>
      </c>
      <c r="E78" s="10" t="s">
        <v>921</v>
      </c>
      <c r="F78" s="11" t="s">
        <v>922</v>
      </c>
      <c r="G78" s="11" t="s">
        <v>923</v>
      </c>
      <c r="H78" s="11" t="s">
        <v>924</v>
      </c>
      <c r="I78" s="10" t="s">
        <v>925</v>
      </c>
      <c r="J78" s="12" t="s">
        <v>926</v>
      </c>
      <c r="K78" s="13" t="s">
        <v>927</v>
      </c>
      <c r="L78" s="11">
        <f t="shared" ref="L78:M78" si="68">A78</f>
        <v>76</v>
      </c>
      <c r="M78" s="11" t="str">
        <f t="shared" si="68"/>
        <v>Lenda 2 tema 76</v>
      </c>
      <c r="N78" s="11" t="s">
        <v>928</v>
      </c>
      <c r="O78" s="11" t="s">
        <v>26</v>
      </c>
      <c r="P78" s="12" t="s">
        <v>929</v>
      </c>
      <c r="Q78" s="14">
        <v>26.0</v>
      </c>
      <c r="R78" s="20"/>
      <c r="S78" s="20"/>
    </row>
    <row r="79" ht="25.5" customHeight="1">
      <c r="A79" s="7">
        <v>77.0</v>
      </c>
      <c r="B79" s="8" t="s">
        <v>1391</v>
      </c>
      <c r="C79" s="9" t="s">
        <v>931</v>
      </c>
      <c r="D79" s="10" t="s">
        <v>932</v>
      </c>
      <c r="E79" s="10" t="s">
        <v>933</v>
      </c>
      <c r="F79" s="11" t="s">
        <v>934</v>
      </c>
      <c r="G79" s="11" t="s">
        <v>935</v>
      </c>
      <c r="H79" s="11" t="s">
        <v>936</v>
      </c>
      <c r="I79" s="10" t="s">
        <v>937</v>
      </c>
      <c r="J79" s="12" t="s">
        <v>938</v>
      </c>
      <c r="K79" s="13" t="s">
        <v>939</v>
      </c>
      <c r="L79" s="11">
        <f t="shared" ref="L79:M79" si="69">A79</f>
        <v>77</v>
      </c>
      <c r="M79" s="11" t="str">
        <f t="shared" si="69"/>
        <v>Lenda 2 tema 77</v>
      </c>
      <c r="N79" s="11" t="s">
        <v>940</v>
      </c>
      <c r="O79" s="11" t="s">
        <v>26</v>
      </c>
      <c r="P79" s="12" t="s">
        <v>941</v>
      </c>
      <c r="Q79" s="15"/>
      <c r="R79" s="20"/>
      <c r="S79" s="20"/>
    </row>
    <row r="80" ht="25.5" customHeight="1">
      <c r="A80" s="7">
        <v>78.0</v>
      </c>
      <c r="B80" s="8" t="s">
        <v>1392</v>
      </c>
      <c r="C80" s="9" t="s">
        <v>943</v>
      </c>
      <c r="D80" s="10" t="s">
        <v>944</v>
      </c>
      <c r="E80" s="10" t="s">
        <v>945</v>
      </c>
      <c r="F80" s="11" t="s">
        <v>946</v>
      </c>
      <c r="G80" s="11" t="s">
        <v>947</v>
      </c>
      <c r="H80" s="11" t="s">
        <v>948</v>
      </c>
      <c r="I80" s="10" t="s">
        <v>949</v>
      </c>
      <c r="J80" s="12" t="s">
        <v>950</v>
      </c>
      <c r="K80" s="13" t="s">
        <v>951</v>
      </c>
      <c r="L80" s="11">
        <f t="shared" ref="L80:M80" si="70">A80</f>
        <v>78</v>
      </c>
      <c r="M80" s="11" t="str">
        <f t="shared" si="70"/>
        <v>Lenda 2 tema 78</v>
      </c>
      <c r="N80" s="11" t="s">
        <v>952</v>
      </c>
      <c r="O80" s="11" t="s">
        <v>26</v>
      </c>
      <c r="P80" s="12" t="s">
        <v>953</v>
      </c>
      <c r="Q80" s="16"/>
      <c r="R80" s="20"/>
      <c r="S80" s="20"/>
    </row>
    <row r="81" ht="25.5" customHeight="1">
      <c r="A81" s="7">
        <v>79.0</v>
      </c>
      <c r="B81" s="8" t="s">
        <v>1393</v>
      </c>
      <c r="C81" s="9" t="s">
        <v>955</v>
      </c>
      <c r="D81" s="10" t="s">
        <v>956</v>
      </c>
      <c r="E81" s="10" t="s">
        <v>957</v>
      </c>
      <c r="F81" s="11" t="s">
        <v>958</v>
      </c>
      <c r="G81" s="11" t="s">
        <v>959</v>
      </c>
      <c r="H81" s="11" t="s">
        <v>960</v>
      </c>
      <c r="I81" s="10" t="s">
        <v>961</v>
      </c>
      <c r="J81" s="12" t="s">
        <v>962</v>
      </c>
      <c r="K81" s="13" t="s">
        <v>963</v>
      </c>
      <c r="L81" s="11">
        <f t="shared" ref="L81:M81" si="71">A81</f>
        <v>79</v>
      </c>
      <c r="M81" s="11" t="str">
        <f t="shared" si="71"/>
        <v>Lenda 2 tema 79</v>
      </c>
      <c r="N81" s="11" t="s">
        <v>964</v>
      </c>
      <c r="O81" s="11" t="s">
        <v>26</v>
      </c>
      <c r="P81" s="12" t="s">
        <v>965</v>
      </c>
      <c r="Q81" s="14">
        <v>27.0</v>
      </c>
      <c r="R81" s="20"/>
      <c r="S81" s="20"/>
    </row>
    <row r="82" ht="25.5" customHeight="1">
      <c r="A82" s="7">
        <v>80.0</v>
      </c>
      <c r="B82" s="8" t="s">
        <v>1394</v>
      </c>
      <c r="C82" s="9" t="s">
        <v>967</v>
      </c>
      <c r="D82" s="10" t="s">
        <v>968</v>
      </c>
      <c r="E82" s="10" t="s">
        <v>969</v>
      </c>
      <c r="F82" s="11" t="s">
        <v>970</v>
      </c>
      <c r="G82" s="11" t="s">
        <v>971</v>
      </c>
      <c r="H82" s="11" t="s">
        <v>972</v>
      </c>
      <c r="I82" s="10" t="s">
        <v>973</v>
      </c>
      <c r="J82" s="12" t="s">
        <v>974</v>
      </c>
      <c r="K82" s="13" t="s">
        <v>975</v>
      </c>
      <c r="L82" s="11">
        <f t="shared" ref="L82:M82" si="72">A82</f>
        <v>80</v>
      </c>
      <c r="M82" s="11" t="str">
        <f t="shared" si="72"/>
        <v>Lenda 2 tema 80</v>
      </c>
      <c r="N82" s="11" t="s">
        <v>976</v>
      </c>
      <c r="O82" s="11" t="s">
        <v>26</v>
      </c>
      <c r="P82" s="12" t="s">
        <v>977</v>
      </c>
      <c r="Q82" s="15"/>
      <c r="R82" s="20"/>
      <c r="S82" s="20"/>
    </row>
    <row r="83" ht="25.5" customHeight="1">
      <c r="A83" s="7">
        <v>81.0</v>
      </c>
      <c r="B83" s="8" t="s">
        <v>1395</v>
      </c>
      <c r="C83" s="9" t="s">
        <v>979</v>
      </c>
      <c r="D83" s="10" t="s">
        <v>980</v>
      </c>
      <c r="E83" s="10" t="s">
        <v>981</v>
      </c>
      <c r="F83" s="11" t="s">
        <v>982</v>
      </c>
      <c r="G83" s="11" t="s">
        <v>983</v>
      </c>
      <c r="H83" s="11" t="s">
        <v>984</v>
      </c>
      <c r="I83" s="10" t="s">
        <v>985</v>
      </c>
      <c r="J83" s="12" t="s">
        <v>986</v>
      </c>
      <c r="K83" s="13" t="s">
        <v>987</v>
      </c>
      <c r="L83" s="11">
        <f t="shared" ref="L83:M83" si="73">A83</f>
        <v>81</v>
      </c>
      <c r="M83" s="11" t="str">
        <f t="shared" si="73"/>
        <v>Lenda 2 tema 81</v>
      </c>
      <c r="N83" s="11" t="s">
        <v>988</v>
      </c>
      <c r="O83" s="11" t="s">
        <v>26</v>
      </c>
      <c r="P83" s="12" t="s">
        <v>989</v>
      </c>
      <c r="Q83" s="16"/>
      <c r="R83" s="20"/>
      <c r="S83" s="20"/>
    </row>
    <row r="84" ht="25.5" customHeight="1">
      <c r="A84" s="7">
        <v>82.0</v>
      </c>
      <c r="B84" s="8" t="s">
        <v>1396</v>
      </c>
      <c r="C84" s="9" t="s">
        <v>991</v>
      </c>
      <c r="D84" s="10" t="s">
        <v>992</v>
      </c>
      <c r="E84" s="10" t="s">
        <v>993</v>
      </c>
      <c r="F84" s="11" t="s">
        <v>994</v>
      </c>
      <c r="G84" s="11" t="s">
        <v>995</v>
      </c>
      <c r="H84" s="11" t="s">
        <v>996</v>
      </c>
      <c r="I84" s="10" t="s">
        <v>997</v>
      </c>
      <c r="J84" s="12" t="s">
        <v>998</v>
      </c>
      <c r="K84" s="13" t="s">
        <v>999</v>
      </c>
      <c r="L84" s="11">
        <f t="shared" ref="L84:M84" si="74">A84</f>
        <v>82</v>
      </c>
      <c r="M84" s="11" t="str">
        <f t="shared" si="74"/>
        <v>Lenda 2 tema 82</v>
      </c>
      <c r="N84" s="11" t="s">
        <v>1000</v>
      </c>
      <c r="O84" s="11" t="s">
        <v>26</v>
      </c>
      <c r="P84" s="12" t="s">
        <v>1001</v>
      </c>
      <c r="Q84" s="14">
        <v>28.0</v>
      </c>
      <c r="R84" s="20"/>
      <c r="S84" s="20"/>
    </row>
    <row r="85" ht="25.5" customHeight="1">
      <c r="A85" s="7">
        <v>83.0</v>
      </c>
      <c r="B85" s="8" t="s">
        <v>1397</v>
      </c>
      <c r="C85" s="9" t="s">
        <v>1003</v>
      </c>
      <c r="D85" s="10" t="s">
        <v>1004</v>
      </c>
      <c r="E85" s="10" t="s">
        <v>1005</v>
      </c>
      <c r="F85" s="11" t="s">
        <v>1006</v>
      </c>
      <c r="G85" s="11" t="s">
        <v>1007</v>
      </c>
      <c r="H85" s="11" t="s">
        <v>1008</v>
      </c>
      <c r="I85" s="10" t="s">
        <v>1009</v>
      </c>
      <c r="J85" s="12" t="s">
        <v>1010</v>
      </c>
      <c r="K85" s="13" t="s">
        <v>1011</v>
      </c>
      <c r="L85" s="11">
        <f t="shared" ref="L85:M85" si="75">A85</f>
        <v>83</v>
      </c>
      <c r="M85" s="11" t="str">
        <f t="shared" si="75"/>
        <v>Lenda 2 tema 83</v>
      </c>
      <c r="N85" s="11" t="s">
        <v>1012</v>
      </c>
      <c r="O85" s="11" t="s">
        <v>26</v>
      </c>
      <c r="P85" s="12" t="s">
        <v>1013</v>
      </c>
      <c r="Q85" s="15"/>
      <c r="R85" s="20"/>
      <c r="S85" s="20"/>
    </row>
    <row r="86" ht="25.5" customHeight="1">
      <c r="A86" s="7">
        <v>84.0</v>
      </c>
      <c r="B86" s="8" t="s">
        <v>1398</v>
      </c>
      <c r="C86" s="9" t="s">
        <v>1015</v>
      </c>
      <c r="D86" s="10" t="s">
        <v>1016</v>
      </c>
      <c r="E86" s="10" t="s">
        <v>1017</v>
      </c>
      <c r="F86" s="11" t="s">
        <v>1018</v>
      </c>
      <c r="G86" s="11" t="s">
        <v>1019</v>
      </c>
      <c r="H86" s="11" t="s">
        <v>1020</v>
      </c>
      <c r="I86" s="10" t="s">
        <v>1021</v>
      </c>
      <c r="J86" s="12" t="s">
        <v>1022</v>
      </c>
      <c r="K86" s="13" t="s">
        <v>1023</v>
      </c>
      <c r="L86" s="11">
        <f t="shared" ref="L86:M86" si="76">A86</f>
        <v>84</v>
      </c>
      <c r="M86" s="11" t="str">
        <f t="shared" si="76"/>
        <v>Lenda 2 tema 84</v>
      </c>
      <c r="N86" s="11" t="s">
        <v>1024</v>
      </c>
      <c r="O86" s="11" t="s">
        <v>26</v>
      </c>
      <c r="P86" s="12" t="s">
        <v>1025</v>
      </c>
      <c r="Q86" s="16"/>
      <c r="R86" s="20"/>
      <c r="S86" s="20"/>
    </row>
    <row r="87" ht="25.5" customHeight="1">
      <c r="A87" s="7">
        <v>85.0</v>
      </c>
      <c r="B87" s="8" t="s">
        <v>1399</v>
      </c>
      <c r="C87" s="9" t="s">
        <v>1027</v>
      </c>
      <c r="D87" s="10" t="s">
        <v>1028</v>
      </c>
      <c r="E87" s="10" t="s">
        <v>1029</v>
      </c>
      <c r="F87" s="11" t="s">
        <v>1030</v>
      </c>
      <c r="G87" s="11" t="s">
        <v>1031</v>
      </c>
      <c r="H87" s="11" t="s">
        <v>1032</v>
      </c>
      <c r="I87" s="10" t="s">
        <v>1033</v>
      </c>
      <c r="J87" s="12" t="s">
        <v>1034</v>
      </c>
      <c r="K87" s="13" t="s">
        <v>1035</v>
      </c>
      <c r="L87" s="11">
        <f t="shared" ref="L87:M87" si="77">A87</f>
        <v>85</v>
      </c>
      <c r="M87" s="11" t="str">
        <f t="shared" si="77"/>
        <v>Lenda 2 tema 85</v>
      </c>
      <c r="N87" s="11" t="s">
        <v>1036</v>
      </c>
      <c r="O87" s="11" t="s">
        <v>26</v>
      </c>
      <c r="P87" s="12" t="s">
        <v>1037</v>
      </c>
      <c r="Q87" s="14">
        <v>29.0</v>
      </c>
      <c r="R87" s="20"/>
      <c r="S87" s="20"/>
    </row>
    <row r="88" ht="25.5" customHeight="1">
      <c r="A88" s="7">
        <v>86.0</v>
      </c>
      <c r="B88" s="8" t="s">
        <v>1400</v>
      </c>
      <c r="C88" s="9" t="s">
        <v>1039</v>
      </c>
      <c r="D88" s="10" t="s">
        <v>1040</v>
      </c>
      <c r="E88" s="10" t="s">
        <v>1041</v>
      </c>
      <c r="F88" s="11" t="s">
        <v>1042</v>
      </c>
      <c r="G88" s="11" t="s">
        <v>1043</v>
      </c>
      <c r="H88" s="11" t="s">
        <v>1044</v>
      </c>
      <c r="I88" s="10" t="s">
        <v>1045</v>
      </c>
      <c r="J88" s="12" t="s">
        <v>1046</v>
      </c>
      <c r="K88" s="13" t="s">
        <v>1047</v>
      </c>
      <c r="L88" s="11">
        <f t="shared" ref="L88:M88" si="78">A88</f>
        <v>86</v>
      </c>
      <c r="M88" s="11" t="str">
        <f t="shared" si="78"/>
        <v>Lenda 2 tema 86</v>
      </c>
      <c r="N88" s="11" t="s">
        <v>1048</v>
      </c>
      <c r="O88" s="11" t="s">
        <v>26</v>
      </c>
      <c r="P88" s="12" t="s">
        <v>1049</v>
      </c>
      <c r="Q88" s="15"/>
      <c r="R88" s="20"/>
      <c r="S88" s="20"/>
    </row>
    <row r="89" ht="25.5" customHeight="1">
      <c r="A89" s="7">
        <v>87.0</v>
      </c>
      <c r="B89" s="8" t="s">
        <v>1401</v>
      </c>
      <c r="C89" s="9" t="s">
        <v>1051</v>
      </c>
      <c r="D89" s="10" t="s">
        <v>1052</v>
      </c>
      <c r="E89" s="10" t="s">
        <v>1053</v>
      </c>
      <c r="F89" s="11" t="s">
        <v>1054</v>
      </c>
      <c r="G89" s="11" t="s">
        <v>1055</v>
      </c>
      <c r="H89" s="11" t="s">
        <v>1056</v>
      </c>
      <c r="I89" s="10" t="s">
        <v>1057</v>
      </c>
      <c r="J89" s="12" t="s">
        <v>1058</v>
      </c>
      <c r="K89" s="13" t="s">
        <v>1059</v>
      </c>
      <c r="L89" s="11">
        <f t="shared" ref="L89:M89" si="79">A89</f>
        <v>87</v>
      </c>
      <c r="M89" s="11" t="str">
        <f t="shared" si="79"/>
        <v>Lenda 2 tema 87</v>
      </c>
      <c r="N89" s="11" t="s">
        <v>1060</v>
      </c>
      <c r="O89" s="11" t="s">
        <v>26</v>
      </c>
      <c r="P89" s="12" t="s">
        <v>1061</v>
      </c>
      <c r="Q89" s="16"/>
      <c r="R89" s="20"/>
      <c r="S89" s="20"/>
    </row>
    <row r="90" ht="25.5" customHeight="1">
      <c r="A90" s="7">
        <v>88.0</v>
      </c>
      <c r="B90" s="8" t="s">
        <v>1402</v>
      </c>
      <c r="C90" s="9" t="s">
        <v>1063</v>
      </c>
      <c r="D90" s="10" t="s">
        <v>1064</v>
      </c>
      <c r="E90" s="10" t="s">
        <v>1065</v>
      </c>
      <c r="F90" s="11" t="s">
        <v>1066</v>
      </c>
      <c r="G90" s="11" t="s">
        <v>1067</v>
      </c>
      <c r="H90" s="11" t="s">
        <v>1068</v>
      </c>
      <c r="I90" s="10" t="s">
        <v>1069</v>
      </c>
      <c r="J90" s="12" t="s">
        <v>1070</v>
      </c>
      <c r="K90" s="13" t="s">
        <v>1071</v>
      </c>
      <c r="L90" s="11">
        <f t="shared" ref="L90:M90" si="80">A90</f>
        <v>88</v>
      </c>
      <c r="M90" s="11" t="str">
        <f t="shared" si="80"/>
        <v>Lenda 2 tema 88</v>
      </c>
      <c r="N90" s="11" t="s">
        <v>1072</v>
      </c>
      <c r="O90" s="11" t="s">
        <v>26</v>
      </c>
      <c r="P90" s="12" t="s">
        <v>1073</v>
      </c>
      <c r="Q90" s="14">
        <v>30.0</v>
      </c>
      <c r="R90" s="20"/>
      <c r="S90" s="20"/>
    </row>
    <row r="91" ht="25.5" customHeight="1">
      <c r="A91" s="7">
        <v>89.0</v>
      </c>
      <c r="B91" s="8" t="s">
        <v>1403</v>
      </c>
      <c r="C91" s="9" t="s">
        <v>1075</v>
      </c>
      <c r="D91" s="10" t="s">
        <v>1076</v>
      </c>
      <c r="E91" s="10" t="s">
        <v>1077</v>
      </c>
      <c r="F91" s="11" t="s">
        <v>1078</v>
      </c>
      <c r="G91" s="11" t="s">
        <v>1079</v>
      </c>
      <c r="H91" s="11" t="s">
        <v>1080</v>
      </c>
      <c r="I91" s="10" t="s">
        <v>1081</v>
      </c>
      <c r="J91" s="12" t="s">
        <v>1082</v>
      </c>
      <c r="K91" s="13" t="s">
        <v>1083</v>
      </c>
      <c r="L91" s="11">
        <f t="shared" ref="L91:M91" si="81">A91</f>
        <v>89</v>
      </c>
      <c r="M91" s="11" t="str">
        <f t="shared" si="81"/>
        <v>Lenda 2 tema 89</v>
      </c>
      <c r="N91" s="11" t="s">
        <v>1084</v>
      </c>
      <c r="O91" s="11" t="s">
        <v>26</v>
      </c>
      <c r="P91" s="12" t="s">
        <v>1085</v>
      </c>
      <c r="Q91" s="15"/>
      <c r="R91" s="20"/>
      <c r="S91" s="20"/>
    </row>
    <row r="92" ht="25.5" customHeight="1">
      <c r="A92" s="7">
        <v>90.0</v>
      </c>
      <c r="B92" s="8" t="s">
        <v>1404</v>
      </c>
      <c r="C92" s="9" t="s">
        <v>1087</v>
      </c>
      <c r="D92" s="10" t="s">
        <v>1088</v>
      </c>
      <c r="E92" s="10" t="s">
        <v>1089</v>
      </c>
      <c r="F92" s="11" t="s">
        <v>1090</v>
      </c>
      <c r="G92" s="11" t="s">
        <v>1091</v>
      </c>
      <c r="H92" s="11" t="s">
        <v>1092</v>
      </c>
      <c r="I92" s="10" t="s">
        <v>1093</v>
      </c>
      <c r="J92" s="12" t="s">
        <v>1094</v>
      </c>
      <c r="K92" s="13" t="s">
        <v>1095</v>
      </c>
      <c r="L92" s="11">
        <f t="shared" ref="L92:M92" si="82">A92</f>
        <v>90</v>
      </c>
      <c r="M92" s="11" t="str">
        <f t="shared" si="82"/>
        <v>Lenda 2 tema 90</v>
      </c>
      <c r="N92" s="11" t="s">
        <v>1096</v>
      </c>
      <c r="O92" s="11" t="s">
        <v>26</v>
      </c>
      <c r="P92" s="12" t="s">
        <v>1097</v>
      </c>
      <c r="Q92" s="16"/>
      <c r="R92" s="20"/>
      <c r="S92" s="20"/>
    </row>
    <row r="93" ht="25.5" customHeight="1">
      <c r="A93" s="7">
        <v>91.0</v>
      </c>
      <c r="B93" s="8" t="s">
        <v>1405</v>
      </c>
      <c r="C93" s="9" t="s">
        <v>1099</v>
      </c>
      <c r="D93" s="10" t="s">
        <v>1100</v>
      </c>
      <c r="E93" s="10" t="s">
        <v>1101</v>
      </c>
      <c r="F93" s="11" t="s">
        <v>1102</v>
      </c>
      <c r="G93" s="11" t="s">
        <v>1103</v>
      </c>
      <c r="H93" s="11" t="s">
        <v>1104</v>
      </c>
      <c r="I93" s="10" t="s">
        <v>1105</v>
      </c>
      <c r="J93" s="12" t="s">
        <v>1106</v>
      </c>
      <c r="K93" s="13" t="s">
        <v>1107</v>
      </c>
      <c r="L93" s="11">
        <f t="shared" ref="L93:M93" si="83">A93</f>
        <v>91</v>
      </c>
      <c r="M93" s="11" t="str">
        <f t="shared" si="83"/>
        <v>Lenda 2 tema 91</v>
      </c>
      <c r="N93" s="11" t="s">
        <v>1108</v>
      </c>
      <c r="O93" s="11" t="s">
        <v>26</v>
      </c>
      <c r="P93" s="12" t="s">
        <v>1109</v>
      </c>
      <c r="Q93" s="14">
        <v>31.0</v>
      </c>
      <c r="R93" s="20"/>
      <c r="S93" s="20"/>
    </row>
    <row r="94" ht="25.5" customHeight="1">
      <c r="A94" s="7">
        <v>92.0</v>
      </c>
      <c r="B94" s="8" t="s">
        <v>1406</v>
      </c>
      <c r="C94" s="9" t="s">
        <v>1111</v>
      </c>
      <c r="D94" s="10" t="s">
        <v>1112</v>
      </c>
      <c r="E94" s="10" t="s">
        <v>1113</v>
      </c>
      <c r="F94" s="11" t="s">
        <v>1114</v>
      </c>
      <c r="G94" s="11" t="s">
        <v>1115</v>
      </c>
      <c r="H94" s="11" t="s">
        <v>1116</v>
      </c>
      <c r="I94" s="10" t="s">
        <v>1117</v>
      </c>
      <c r="J94" s="12" t="s">
        <v>1118</v>
      </c>
      <c r="K94" s="13" t="s">
        <v>1119</v>
      </c>
      <c r="L94" s="11">
        <f t="shared" ref="L94:M94" si="84">A94</f>
        <v>92</v>
      </c>
      <c r="M94" s="11" t="str">
        <f t="shared" si="84"/>
        <v>Lenda 2 tema 92</v>
      </c>
      <c r="N94" s="11" t="s">
        <v>1120</v>
      </c>
      <c r="O94" s="11" t="s">
        <v>26</v>
      </c>
      <c r="P94" s="12" t="s">
        <v>1121</v>
      </c>
      <c r="Q94" s="15"/>
      <c r="R94" s="20"/>
      <c r="S94" s="20"/>
    </row>
    <row r="95" ht="25.5" customHeight="1">
      <c r="A95" s="7">
        <v>93.0</v>
      </c>
      <c r="B95" s="8" t="s">
        <v>1407</v>
      </c>
      <c r="C95" s="9" t="s">
        <v>1123</v>
      </c>
      <c r="D95" s="10" t="s">
        <v>1124</v>
      </c>
      <c r="E95" s="10" t="s">
        <v>1125</v>
      </c>
      <c r="F95" s="11" t="s">
        <v>1126</v>
      </c>
      <c r="G95" s="11" t="s">
        <v>1127</v>
      </c>
      <c r="H95" s="11" t="s">
        <v>1128</v>
      </c>
      <c r="I95" s="10" t="s">
        <v>1129</v>
      </c>
      <c r="J95" s="12" t="s">
        <v>1130</v>
      </c>
      <c r="K95" s="13" t="s">
        <v>1131</v>
      </c>
      <c r="L95" s="11">
        <f t="shared" ref="L95:M95" si="85">A95</f>
        <v>93</v>
      </c>
      <c r="M95" s="11" t="str">
        <f t="shared" si="85"/>
        <v>Lenda 2 tema 93</v>
      </c>
      <c r="N95" s="11" t="s">
        <v>1132</v>
      </c>
      <c r="O95" s="11" t="s">
        <v>26</v>
      </c>
      <c r="P95" s="12" t="s">
        <v>1133</v>
      </c>
      <c r="Q95" s="16"/>
      <c r="R95" s="20"/>
      <c r="S95" s="20"/>
    </row>
    <row r="96" ht="25.5" customHeight="1">
      <c r="A96" s="7">
        <v>94.0</v>
      </c>
      <c r="B96" s="8" t="s">
        <v>1408</v>
      </c>
      <c r="C96" s="9" t="s">
        <v>1135</v>
      </c>
      <c r="D96" s="10" t="s">
        <v>1136</v>
      </c>
      <c r="E96" s="10" t="s">
        <v>1137</v>
      </c>
      <c r="F96" s="11" t="s">
        <v>1138</v>
      </c>
      <c r="G96" s="11" t="s">
        <v>1139</v>
      </c>
      <c r="H96" s="11" t="s">
        <v>1140</v>
      </c>
      <c r="I96" s="10" t="s">
        <v>1141</v>
      </c>
      <c r="J96" s="12" t="s">
        <v>1142</v>
      </c>
      <c r="K96" s="13" t="s">
        <v>1143</v>
      </c>
      <c r="L96" s="11">
        <f t="shared" ref="L96:M96" si="86">A96</f>
        <v>94</v>
      </c>
      <c r="M96" s="11" t="str">
        <f t="shared" si="86"/>
        <v>Lenda 2 tema 94</v>
      </c>
      <c r="N96" s="11" t="s">
        <v>1144</v>
      </c>
      <c r="O96" s="11" t="s">
        <v>26</v>
      </c>
      <c r="P96" s="12" t="s">
        <v>1145</v>
      </c>
      <c r="Q96" s="14">
        <v>32.0</v>
      </c>
      <c r="R96" s="20"/>
      <c r="S96" s="20"/>
    </row>
    <row r="97" ht="25.5" customHeight="1">
      <c r="A97" s="7">
        <v>95.0</v>
      </c>
      <c r="B97" s="8" t="s">
        <v>1409</v>
      </c>
      <c r="C97" s="9" t="s">
        <v>1147</v>
      </c>
      <c r="D97" s="10" t="s">
        <v>1148</v>
      </c>
      <c r="E97" s="10" t="s">
        <v>1149</v>
      </c>
      <c r="F97" s="11" t="s">
        <v>1150</v>
      </c>
      <c r="G97" s="11" t="s">
        <v>1151</v>
      </c>
      <c r="H97" s="11" t="s">
        <v>1152</v>
      </c>
      <c r="I97" s="10" t="s">
        <v>1153</v>
      </c>
      <c r="J97" s="12" t="s">
        <v>1154</v>
      </c>
      <c r="K97" s="13" t="s">
        <v>1155</v>
      </c>
      <c r="L97" s="11">
        <f t="shared" ref="L97:M97" si="87">A97</f>
        <v>95</v>
      </c>
      <c r="M97" s="11" t="str">
        <f t="shared" si="87"/>
        <v>Lenda 2 tema 95</v>
      </c>
      <c r="N97" s="11" t="s">
        <v>1156</v>
      </c>
      <c r="O97" s="11" t="s">
        <v>26</v>
      </c>
      <c r="P97" s="12" t="s">
        <v>1157</v>
      </c>
      <c r="Q97" s="15"/>
      <c r="R97" s="20"/>
      <c r="S97" s="20"/>
    </row>
    <row r="98" ht="25.5" customHeight="1">
      <c r="A98" s="7">
        <v>96.0</v>
      </c>
      <c r="B98" s="8" t="s">
        <v>1410</v>
      </c>
      <c r="C98" s="9" t="s">
        <v>1159</v>
      </c>
      <c r="D98" s="10" t="s">
        <v>1160</v>
      </c>
      <c r="E98" s="10" t="s">
        <v>1161</v>
      </c>
      <c r="F98" s="11" t="s">
        <v>1162</v>
      </c>
      <c r="G98" s="11" t="s">
        <v>1163</v>
      </c>
      <c r="H98" s="11" t="s">
        <v>1164</v>
      </c>
      <c r="I98" s="10" t="s">
        <v>1165</v>
      </c>
      <c r="J98" s="12" t="s">
        <v>1166</v>
      </c>
      <c r="K98" s="13" t="s">
        <v>1167</v>
      </c>
      <c r="L98" s="11">
        <f t="shared" ref="L98:M98" si="88">A98</f>
        <v>96</v>
      </c>
      <c r="M98" s="11" t="str">
        <f t="shared" si="88"/>
        <v>Lenda 2 tema 96</v>
      </c>
      <c r="N98" s="11" t="s">
        <v>1168</v>
      </c>
      <c r="O98" s="11" t="s">
        <v>26</v>
      </c>
      <c r="P98" s="12" t="s">
        <v>1169</v>
      </c>
      <c r="Q98" s="16"/>
      <c r="R98" s="20"/>
      <c r="S98" s="20"/>
    </row>
    <row r="99" ht="25.5" customHeight="1">
      <c r="A99" s="7">
        <v>97.0</v>
      </c>
      <c r="B99" s="8" t="s">
        <v>1411</v>
      </c>
      <c r="C99" s="9" t="s">
        <v>1171</v>
      </c>
      <c r="D99" s="10" t="s">
        <v>1172</v>
      </c>
      <c r="E99" s="10" t="s">
        <v>1173</v>
      </c>
      <c r="F99" s="11" t="s">
        <v>1174</v>
      </c>
      <c r="G99" s="11" t="s">
        <v>1175</v>
      </c>
      <c r="H99" s="11" t="s">
        <v>1176</v>
      </c>
      <c r="I99" s="10" t="s">
        <v>1177</v>
      </c>
      <c r="J99" s="12" t="s">
        <v>1178</v>
      </c>
      <c r="K99" s="13" t="s">
        <v>1179</v>
      </c>
      <c r="L99" s="11">
        <f t="shared" ref="L99:M99" si="89">A99</f>
        <v>97</v>
      </c>
      <c r="M99" s="11" t="str">
        <f t="shared" si="89"/>
        <v>Lenda 2 tema 97</v>
      </c>
      <c r="N99" s="11" t="s">
        <v>1180</v>
      </c>
      <c r="O99" s="11" t="s">
        <v>26</v>
      </c>
      <c r="P99" s="12" t="s">
        <v>1181</v>
      </c>
      <c r="Q99" s="14">
        <v>33.0</v>
      </c>
      <c r="R99" s="20"/>
      <c r="S99" s="20"/>
    </row>
    <row r="100" ht="25.5" customHeight="1">
      <c r="A100" s="7">
        <v>98.0</v>
      </c>
      <c r="B100" s="8" t="s">
        <v>1412</v>
      </c>
      <c r="C100" s="9" t="s">
        <v>1183</v>
      </c>
      <c r="D100" s="10" t="s">
        <v>1184</v>
      </c>
      <c r="E100" s="10" t="s">
        <v>1185</v>
      </c>
      <c r="F100" s="11" t="s">
        <v>1186</v>
      </c>
      <c r="G100" s="11" t="s">
        <v>1187</v>
      </c>
      <c r="H100" s="11" t="s">
        <v>1188</v>
      </c>
      <c r="I100" s="10" t="s">
        <v>1189</v>
      </c>
      <c r="J100" s="12" t="s">
        <v>1190</v>
      </c>
      <c r="K100" s="13" t="s">
        <v>1191</v>
      </c>
      <c r="L100" s="11">
        <f t="shared" ref="L100:M100" si="90">A100</f>
        <v>98</v>
      </c>
      <c r="M100" s="11" t="str">
        <f t="shared" si="90"/>
        <v>Lenda 2 tema 98</v>
      </c>
      <c r="N100" s="11" t="s">
        <v>1192</v>
      </c>
      <c r="O100" s="11" t="s">
        <v>26</v>
      </c>
      <c r="P100" s="12" t="s">
        <v>1193</v>
      </c>
      <c r="Q100" s="15"/>
      <c r="R100" s="20"/>
      <c r="S100" s="20"/>
    </row>
    <row r="101" ht="25.5" customHeight="1">
      <c r="A101" s="7">
        <v>99.0</v>
      </c>
      <c r="B101" s="8" t="s">
        <v>1413</v>
      </c>
      <c r="C101" s="9" t="s">
        <v>1195</v>
      </c>
      <c r="D101" s="10" t="s">
        <v>1196</v>
      </c>
      <c r="E101" s="10" t="s">
        <v>1197</v>
      </c>
      <c r="F101" s="11" t="s">
        <v>1198</v>
      </c>
      <c r="G101" s="11" t="s">
        <v>1199</v>
      </c>
      <c r="H101" s="11" t="s">
        <v>1200</v>
      </c>
      <c r="I101" s="10" t="s">
        <v>1201</v>
      </c>
      <c r="J101" s="12" t="s">
        <v>1202</v>
      </c>
      <c r="K101" s="13" t="s">
        <v>1203</v>
      </c>
      <c r="L101" s="11">
        <f t="shared" ref="L101:M101" si="91">A101</f>
        <v>99</v>
      </c>
      <c r="M101" s="11" t="str">
        <f t="shared" si="91"/>
        <v>Lenda 2 tema 99</v>
      </c>
      <c r="N101" s="11" t="s">
        <v>1204</v>
      </c>
      <c r="O101" s="11" t="s">
        <v>26</v>
      </c>
      <c r="P101" s="12" t="s">
        <v>1205</v>
      </c>
      <c r="Q101" s="16"/>
      <c r="R101" s="20"/>
      <c r="S101" s="20"/>
    </row>
    <row r="102" ht="25.5" customHeight="1">
      <c r="A102" s="7">
        <v>100.0</v>
      </c>
      <c r="B102" s="8" t="s">
        <v>1414</v>
      </c>
      <c r="C102" s="9" t="s">
        <v>1207</v>
      </c>
      <c r="D102" s="10" t="s">
        <v>1208</v>
      </c>
      <c r="E102" s="10" t="s">
        <v>1209</v>
      </c>
      <c r="F102" s="11" t="s">
        <v>1210</v>
      </c>
      <c r="G102" s="11" t="s">
        <v>1211</v>
      </c>
      <c r="H102" s="11" t="s">
        <v>1212</v>
      </c>
      <c r="I102" s="10" t="s">
        <v>1213</v>
      </c>
      <c r="J102" s="12" t="s">
        <v>1214</v>
      </c>
      <c r="K102" s="13" t="s">
        <v>1215</v>
      </c>
      <c r="L102" s="11">
        <f t="shared" ref="L102:M102" si="92">A102</f>
        <v>100</v>
      </c>
      <c r="M102" s="11" t="str">
        <f t="shared" si="92"/>
        <v>Lenda 2 tema 100</v>
      </c>
      <c r="N102" s="11" t="s">
        <v>1216</v>
      </c>
      <c r="O102" s="11" t="s">
        <v>26</v>
      </c>
      <c r="P102" s="12" t="s">
        <v>1217</v>
      </c>
      <c r="Q102" s="14">
        <v>34.0</v>
      </c>
      <c r="R102" s="20"/>
      <c r="S102" s="20"/>
    </row>
    <row r="103" ht="25.5" customHeight="1">
      <c r="A103" s="7">
        <v>101.0</v>
      </c>
      <c r="B103" s="8" t="s">
        <v>1415</v>
      </c>
      <c r="C103" s="9" t="s">
        <v>1219</v>
      </c>
      <c r="D103" s="10" t="s">
        <v>1220</v>
      </c>
      <c r="E103" s="10" t="s">
        <v>1221</v>
      </c>
      <c r="F103" s="11" t="s">
        <v>1222</v>
      </c>
      <c r="G103" s="11" t="s">
        <v>1223</v>
      </c>
      <c r="H103" s="11" t="s">
        <v>1224</v>
      </c>
      <c r="I103" s="10" t="s">
        <v>1225</v>
      </c>
      <c r="J103" s="12" t="s">
        <v>1226</v>
      </c>
      <c r="K103" s="13" t="s">
        <v>1227</v>
      </c>
      <c r="L103" s="11">
        <f t="shared" ref="L103:M103" si="93">A103</f>
        <v>101</v>
      </c>
      <c r="M103" s="11" t="str">
        <f t="shared" si="93"/>
        <v>Lenda 2 tema 101</v>
      </c>
      <c r="N103" s="11" t="s">
        <v>1228</v>
      </c>
      <c r="O103" s="11" t="s">
        <v>26</v>
      </c>
      <c r="P103" s="12" t="s">
        <v>1229</v>
      </c>
      <c r="Q103" s="15"/>
      <c r="R103" s="20"/>
      <c r="S103" s="20"/>
    </row>
    <row r="104" ht="25.5" customHeight="1">
      <c r="A104" s="7">
        <v>102.0</v>
      </c>
      <c r="B104" s="8" t="s">
        <v>1416</v>
      </c>
      <c r="C104" s="9" t="s">
        <v>1231</v>
      </c>
      <c r="D104" s="10" t="s">
        <v>1232</v>
      </c>
      <c r="E104" s="10" t="s">
        <v>1233</v>
      </c>
      <c r="F104" s="11" t="s">
        <v>1234</v>
      </c>
      <c r="G104" s="11" t="s">
        <v>1235</v>
      </c>
      <c r="H104" s="11" t="s">
        <v>1236</v>
      </c>
      <c r="I104" s="10" t="s">
        <v>1237</v>
      </c>
      <c r="J104" s="12" t="s">
        <v>1238</v>
      </c>
      <c r="K104" s="13" t="s">
        <v>1239</v>
      </c>
      <c r="L104" s="11">
        <f t="shared" ref="L104:M104" si="94">A104</f>
        <v>102</v>
      </c>
      <c r="M104" s="11" t="str">
        <f t="shared" si="94"/>
        <v>Lenda 2 tema 102</v>
      </c>
      <c r="N104" s="11" t="s">
        <v>1240</v>
      </c>
      <c r="O104" s="11" t="s">
        <v>26</v>
      </c>
      <c r="P104" s="12" t="s">
        <v>1241</v>
      </c>
      <c r="Q104" s="16"/>
      <c r="R104" s="20"/>
      <c r="S104" s="20"/>
    </row>
    <row r="105" ht="12.75" customHeight="1">
      <c r="A105" s="7">
        <v>103.0</v>
      </c>
      <c r="B105" s="8" t="s">
        <v>1417</v>
      </c>
      <c r="C105" s="9" t="s">
        <v>1243</v>
      </c>
      <c r="D105" s="10" t="s">
        <v>1244</v>
      </c>
      <c r="E105" s="10" t="s">
        <v>1245</v>
      </c>
      <c r="F105" s="11" t="s">
        <v>1246</v>
      </c>
      <c r="G105" s="11" t="s">
        <v>1247</v>
      </c>
      <c r="H105" s="11" t="s">
        <v>1248</v>
      </c>
      <c r="I105" s="10" t="s">
        <v>1249</v>
      </c>
      <c r="J105" s="12" t="s">
        <v>1250</v>
      </c>
      <c r="K105" s="13" t="s">
        <v>1251</v>
      </c>
      <c r="L105" s="11">
        <f t="shared" ref="L105:M105" si="95">A105</f>
        <v>103</v>
      </c>
      <c r="M105" s="11" t="str">
        <f t="shared" si="95"/>
        <v>Lenda 2 tema 103</v>
      </c>
      <c r="N105" s="11" t="s">
        <v>1252</v>
      </c>
      <c r="O105" s="11" t="s">
        <v>26</v>
      </c>
      <c r="P105" s="12" t="s">
        <v>1253</v>
      </c>
      <c r="Q105" s="14">
        <v>35.0</v>
      </c>
      <c r="R105" s="20"/>
      <c r="S105" s="20"/>
    </row>
    <row r="106" ht="12.75" customHeight="1">
      <c r="A106" s="7">
        <v>104.0</v>
      </c>
      <c r="B106" s="8" t="s">
        <v>1418</v>
      </c>
      <c r="C106" s="9" t="s">
        <v>1255</v>
      </c>
      <c r="D106" s="10" t="s">
        <v>1256</v>
      </c>
      <c r="E106" s="10" t="s">
        <v>1257</v>
      </c>
      <c r="F106" s="11" t="s">
        <v>1258</v>
      </c>
      <c r="G106" s="11" t="s">
        <v>1259</v>
      </c>
      <c r="H106" s="11" t="s">
        <v>1260</v>
      </c>
      <c r="I106" s="10" t="s">
        <v>1261</v>
      </c>
      <c r="J106" s="12" t="s">
        <v>1262</v>
      </c>
      <c r="K106" s="13" t="s">
        <v>1263</v>
      </c>
      <c r="L106" s="11">
        <f t="shared" ref="L106:M106" si="96">A106</f>
        <v>104</v>
      </c>
      <c r="M106" s="11" t="str">
        <f t="shared" si="96"/>
        <v>Lenda 2 tema 104</v>
      </c>
      <c r="N106" s="11" t="s">
        <v>1264</v>
      </c>
      <c r="O106" s="11" t="s">
        <v>26</v>
      </c>
      <c r="P106" s="12" t="s">
        <v>1265</v>
      </c>
      <c r="Q106" s="15"/>
      <c r="R106" s="20"/>
      <c r="S106" s="20"/>
    </row>
    <row r="107" ht="12.75" customHeight="1">
      <c r="A107" s="7">
        <v>105.0</v>
      </c>
      <c r="B107" s="8" t="s">
        <v>1419</v>
      </c>
      <c r="C107" s="9" t="s">
        <v>1267</v>
      </c>
      <c r="D107" s="10" t="s">
        <v>1268</v>
      </c>
      <c r="E107" s="10" t="s">
        <v>1269</v>
      </c>
      <c r="F107" s="11" t="s">
        <v>1270</v>
      </c>
      <c r="G107" s="11" t="s">
        <v>1271</v>
      </c>
      <c r="H107" s="11" t="s">
        <v>1272</v>
      </c>
      <c r="I107" s="10" t="s">
        <v>1273</v>
      </c>
      <c r="J107" s="12" t="s">
        <v>1274</v>
      </c>
      <c r="K107" s="13" t="s">
        <v>1275</v>
      </c>
      <c r="L107" s="11">
        <f t="shared" ref="L107:M107" si="97">A107</f>
        <v>105</v>
      </c>
      <c r="M107" s="11" t="str">
        <f t="shared" si="97"/>
        <v>Lenda 2 tema 105</v>
      </c>
      <c r="N107" s="11" t="s">
        <v>1276</v>
      </c>
      <c r="O107" s="11" t="s">
        <v>26</v>
      </c>
      <c r="P107" s="12" t="s">
        <v>1277</v>
      </c>
      <c r="Q107" s="16"/>
      <c r="R107" s="20"/>
      <c r="S107" s="20"/>
    </row>
    <row r="108" ht="12.75" customHeight="1">
      <c r="A108" s="7">
        <v>106.0</v>
      </c>
      <c r="B108" s="8" t="s">
        <v>1420</v>
      </c>
      <c r="C108" s="9" t="s">
        <v>1279</v>
      </c>
      <c r="D108" s="10" t="s">
        <v>1280</v>
      </c>
      <c r="E108" s="10" t="s">
        <v>1281</v>
      </c>
      <c r="F108" s="11" t="s">
        <v>1282</v>
      </c>
      <c r="G108" s="11" t="s">
        <v>1283</v>
      </c>
      <c r="H108" s="11" t="s">
        <v>1284</v>
      </c>
      <c r="I108" s="10" t="s">
        <v>1285</v>
      </c>
      <c r="J108" s="12" t="s">
        <v>1286</v>
      </c>
      <c r="K108" s="13" t="s">
        <v>1287</v>
      </c>
      <c r="L108" s="11">
        <f t="shared" ref="L108:M108" si="98">A108</f>
        <v>106</v>
      </c>
      <c r="M108" s="11" t="str">
        <f t="shared" si="98"/>
        <v>Lenda 2 tema 106</v>
      </c>
      <c r="N108" s="11" t="s">
        <v>1288</v>
      </c>
      <c r="O108" s="11" t="s">
        <v>26</v>
      </c>
      <c r="P108" s="12" t="s">
        <v>1289</v>
      </c>
      <c r="Q108" s="14">
        <v>36.0</v>
      </c>
      <c r="R108" s="20"/>
      <c r="S108" s="20"/>
    </row>
    <row r="109" ht="12.75" customHeight="1">
      <c r="A109" s="7">
        <v>107.0</v>
      </c>
      <c r="B109" s="8" t="s">
        <v>1421</v>
      </c>
      <c r="C109" s="9" t="s">
        <v>1291</v>
      </c>
      <c r="D109" s="10" t="s">
        <v>1292</v>
      </c>
      <c r="E109" s="10" t="s">
        <v>1293</v>
      </c>
      <c r="F109" s="11" t="s">
        <v>1294</v>
      </c>
      <c r="G109" s="11" t="s">
        <v>1295</v>
      </c>
      <c r="H109" s="11" t="s">
        <v>1296</v>
      </c>
      <c r="I109" s="10" t="s">
        <v>1297</v>
      </c>
      <c r="J109" s="12" t="s">
        <v>1298</v>
      </c>
      <c r="K109" s="13" t="s">
        <v>1299</v>
      </c>
      <c r="L109" s="11">
        <f t="shared" ref="L109:M109" si="99">A109</f>
        <v>107</v>
      </c>
      <c r="M109" s="11" t="str">
        <f t="shared" si="99"/>
        <v>Lenda 2 tema 107</v>
      </c>
      <c r="N109" s="11" t="s">
        <v>1300</v>
      </c>
      <c r="O109" s="11" t="s">
        <v>26</v>
      </c>
      <c r="P109" s="12" t="s">
        <v>1301</v>
      </c>
      <c r="Q109" s="15"/>
      <c r="R109" s="20"/>
      <c r="S109" s="20"/>
    </row>
    <row r="110" ht="12.75" customHeight="1">
      <c r="A110" s="7">
        <v>108.0</v>
      </c>
      <c r="B110" s="8" t="s">
        <v>1422</v>
      </c>
      <c r="C110" s="9" t="s">
        <v>1303</v>
      </c>
      <c r="D110" s="10" t="s">
        <v>1304</v>
      </c>
      <c r="E110" s="10" t="s">
        <v>1305</v>
      </c>
      <c r="F110" s="11" t="s">
        <v>1306</v>
      </c>
      <c r="G110" s="11" t="s">
        <v>1307</v>
      </c>
      <c r="H110" s="11" t="s">
        <v>1308</v>
      </c>
      <c r="I110" s="10" t="s">
        <v>1309</v>
      </c>
      <c r="J110" s="12" t="s">
        <v>1310</v>
      </c>
      <c r="K110" s="13" t="s">
        <v>1311</v>
      </c>
      <c r="L110" s="11">
        <f t="shared" ref="L110:M110" si="100">A110</f>
        <v>108</v>
      </c>
      <c r="M110" s="11" t="str">
        <f t="shared" si="100"/>
        <v>Tema108</v>
      </c>
      <c r="N110" s="11" t="s">
        <v>1312</v>
      </c>
      <c r="O110" s="11" t="s">
        <v>26</v>
      </c>
      <c r="P110" s="12" t="s">
        <v>1313</v>
      </c>
      <c r="Q110" s="16"/>
      <c r="R110" s="20"/>
      <c r="S110" s="20"/>
    </row>
    <row r="111" ht="12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ht="12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ht="12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ht="12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ht="12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ht="12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ht="12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ht="12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ht="12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ht="12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ht="12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ht="12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ht="12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ht="12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ht="12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ht="12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ht="12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ht="12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ht="12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ht="12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ht="12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ht="12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ht="12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ht="12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ht="12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ht="12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ht="12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ht="12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ht="12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ht="12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ht="12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ht="12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ht="12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ht="12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ht="12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ht="12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ht="12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ht="12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ht="12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ht="12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ht="12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ht="12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ht="12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ht="12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ht="12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ht="12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ht="12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ht="12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  <row r="159" ht="12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</row>
    <row r="160" ht="12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</row>
    <row r="161" ht="12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</row>
    <row r="162" ht="12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</row>
    <row r="163" ht="12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</row>
    <row r="164" ht="12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</row>
    <row r="165" ht="12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</row>
    <row r="166" ht="12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</row>
    <row r="167" ht="12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</row>
    <row r="168" ht="12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</row>
    <row r="169" ht="12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</row>
    <row r="170" ht="12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</row>
    <row r="171" ht="12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</row>
    <row r="172" ht="12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</row>
    <row r="173" ht="12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</row>
    <row r="174" ht="12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</row>
    <row r="175" ht="12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</row>
    <row r="176" ht="12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</row>
    <row r="177" ht="12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</row>
    <row r="178" ht="12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</row>
    <row r="179" ht="12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</row>
    <row r="180" ht="12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</row>
    <row r="181" ht="12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</row>
    <row r="182" ht="12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</row>
    <row r="183" ht="12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</row>
    <row r="184" ht="12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</row>
    <row r="185" ht="12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</row>
    <row r="186" ht="12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</row>
    <row r="187" ht="12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</row>
    <row r="188" ht="12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</row>
    <row r="189" ht="12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</row>
    <row r="190" ht="12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</row>
    <row r="191" ht="12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</row>
    <row r="192" ht="12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</row>
    <row r="193" ht="12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</row>
    <row r="194" ht="12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</row>
    <row r="195" ht="12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</row>
    <row r="196" ht="12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</row>
    <row r="197" ht="12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</row>
    <row r="198" ht="12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</row>
    <row r="199" ht="12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</row>
    <row r="200" ht="12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</row>
    <row r="201" ht="12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</row>
    <row r="202" ht="12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</row>
    <row r="203" ht="12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</row>
    <row r="204" ht="12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</row>
    <row r="205" ht="12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</row>
    <row r="206" ht="12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</row>
    <row r="207" ht="12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</row>
    <row r="208" ht="12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</row>
    <row r="209" ht="12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</row>
    <row r="210" ht="12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</row>
    <row r="211" ht="12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</row>
    <row r="212" ht="12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</row>
    <row r="213" ht="12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</row>
    <row r="214" ht="12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</row>
    <row r="215" ht="12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</row>
    <row r="216" ht="12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</row>
    <row r="217" ht="12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</row>
    <row r="218" ht="12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</row>
    <row r="219" ht="12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</row>
    <row r="220" ht="12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</row>
    <row r="221" ht="12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</row>
    <row r="222" ht="12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</row>
    <row r="223" ht="12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</row>
    <row r="224" ht="12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</row>
    <row r="225" ht="12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</row>
    <row r="226" ht="12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</row>
    <row r="227" ht="12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</row>
    <row r="228" ht="12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</row>
    <row r="229" ht="12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</row>
    <row r="230" ht="12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</row>
    <row r="231" ht="12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</row>
    <row r="232" ht="12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</row>
    <row r="233" ht="12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</row>
    <row r="234" ht="12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</row>
    <row r="235" ht="12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</row>
    <row r="236" ht="12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</row>
    <row r="237" ht="12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</row>
    <row r="238" ht="12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</row>
    <row r="239" ht="12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</row>
    <row r="240" ht="12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</row>
    <row r="241" ht="12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</row>
    <row r="242" ht="12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</row>
    <row r="243" ht="12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</row>
    <row r="244" ht="12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</row>
    <row r="245" ht="12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</row>
    <row r="246" ht="12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</row>
    <row r="247" ht="12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</row>
    <row r="248" ht="12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</row>
    <row r="249" ht="12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</row>
    <row r="250" ht="12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</row>
    <row r="251" ht="12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</row>
    <row r="252" ht="12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</row>
    <row r="253" ht="12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</row>
    <row r="254" ht="12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</row>
    <row r="255" ht="12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</row>
    <row r="256" ht="12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</row>
    <row r="257" ht="12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</row>
    <row r="258" ht="12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</row>
    <row r="259" ht="12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</row>
    <row r="260" ht="12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</row>
    <row r="261" ht="12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</row>
    <row r="262" ht="12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</row>
    <row r="263" ht="12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</row>
    <row r="264" ht="12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</row>
    <row r="265" ht="12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</row>
    <row r="266" ht="12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</row>
    <row r="267" ht="12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</row>
    <row r="268" ht="12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</row>
    <row r="269" ht="12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</row>
    <row r="270" ht="12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</row>
    <row r="271" ht="12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</row>
    <row r="272" ht="12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</row>
    <row r="273" ht="12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</row>
    <row r="274" ht="12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</row>
    <row r="275" ht="12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</row>
    <row r="276" ht="12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</row>
    <row r="277" ht="12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</row>
    <row r="278" ht="12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</row>
    <row r="279" ht="12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</row>
    <row r="280" ht="12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</row>
    <row r="281" ht="12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</row>
    <row r="282" ht="12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</row>
    <row r="283" ht="12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</row>
    <row r="284" ht="12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</row>
    <row r="285" ht="12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</row>
    <row r="286" ht="12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</row>
    <row r="287" ht="12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</row>
    <row r="288" ht="12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</row>
    <row r="289" ht="12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</row>
    <row r="290" ht="12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</row>
    <row r="291" ht="12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</row>
    <row r="292" ht="12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</row>
    <row r="293" ht="12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</row>
    <row r="294" ht="12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</row>
    <row r="295" ht="12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</row>
    <row r="296" ht="12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</row>
    <row r="297" ht="12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</row>
    <row r="298" ht="12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</row>
    <row r="299" ht="12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</row>
    <row r="300" ht="12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</row>
    <row r="301" ht="12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</row>
    <row r="302" ht="12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</row>
    <row r="303" ht="12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</row>
    <row r="304" ht="12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</row>
    <row r="305" ht="12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</row>
    <row r="306" ht="12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</row>
    <row r="307" ht="12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</row>
    <row r="308" ht="12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</row>
    <row r="309" ht="12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Q3:Q5"/>
    <mergeCell ref="Q6:Q8"/>
    <mergeCell ref="Q9:Q11"/>
    <mergeCell ref="Q12:Q14"/>
    <mergeCell ref="Q15:Q17"/>
    <mergeCell ref="Q18:Q20"/>
    <mergeCell ref="Q21:Q23"/>
    <mergeCell ref="Q24:Q26"/>
    <mergeCell ref="Q27:Q29"/>
    <mergeCell ref="Q30:Q32"/>
    <mergeCell ref="Q33:Q35"/>
    <mergeCell ref="Q36:Q38"/>
    <mergeCell ref="Q39:Q41"/>
    <mergeCell ref="Q42:Q44"/>
    <mergeCell ref="Q45:Q47"/>
    <mergeCell ref="Q48:Q50"/>
    <mergeCell ref="Q51:Q53"/>
    <mergeCell ref="Q54:Q56"/>
    <mergeCell ref="Q57:Q59"/>
    <mergeCell ref="Q60:Q62"/>
    <mergeCell ref="Q63:Q65"/>
    <mergeCell ref="Q87:Q89"/>
    <mergeCell ref="Q90:Q92"/>
    <mergeCell ref="Q93:Q95"/>
    <mergeCell ref="Q96:Q98"/>
    <mergeCell ref="Q99:Q101"/>
    <mergeCell ref="Q102:Q104"/>
    <mergeCell ref="Q105:Q107"/>
    <mergeCell ref="Q108:Q110"/>
    <mergeCell ref="Q66:Q68"/>
    <mergeCell ref="Q69:Q71"/>
    <mergeCell ref="Q72:Q74"/>
    <mergeCell ref="Q75:Q77"/>
    <mergeCell ref="Q78:Q80"/>
    <mergeCell ref="Q81:Q83"/>
    <mergeCell ref="Q84:Q8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10" width="9.71"/>
    <col customWidth="1" min="11" max="11" width="12.71"/>
    <col customWidth="1" min="12" max="12" width="8.0"/>
  </cols>
  <sheetData>
    <row r="1" ht="15.0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3"/>
      <c r="L1" s="24"/>
    </row>
    <row r="2" ht="15.0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3"/>
      <c r="L2" s="24"/>
    </row>
    <row r="3" ht="15.0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3"/>
      <c r="L3" s="24"/>
    </row>
    <row r="4" ht="15.0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3"/>
      <c r="L4" s="24"/>
    </row>
    <row r="5" ht="15.0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3"/>
      <c r="L5" s="24"/>
    </row>
    <row r="6" ht="15.0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3"/>
      <c r="L6" s="24"/>
    </row>
    <row r="7" ht="15.0" customHeight="1">
      <c r="A7" s="25" t="s">
        <v>1423</v>
      </c>
      <c r="B7" s="25" t="s">
        <v>1424</v>
      </c>
      <c r="C7" s="25" t="s">
        <v>1425</v>
      </c>
      <c r="D7" s="25" t="s">
        <v>1426</v>
      </c>
      <c r="E7" s="25" t="s">
        <v>1427</v>
      </c>
      <c r="F7" s="26" t="s">
        <v>1428</v>
      </c>
      <c r="G7" s="26" t="s">
        <v>1429</v>
      </c>
      <c r="H7" s="25" t="s">
        <v>1430</v>
      </c>
      <c r="I7" s="25" t="s">
        <v>1431</v>
      </c>
      <c r="J7" s="25" t="s">
        <v>1429</v>
      </c>
      <c r="K7" s="23" t="s">
        <v>1432</v>
      </c>
      <c r="L7" s="24" t="s">
        <v>14</v>
      </c>
    </row>
    <row r="8" ht="24.0" customHeight="1">
      <c r="A8" s="25" t="s">
        <v>1433</v>
      </c>
      <c r="B8" s="27">
        <f t="shared" ref="B8:J8" si="1">SUM(B12:B31)</f>
        <v>0</v>
      </c>
      <c r="C8" s="27">
        <f t="shared" si="1"/>
        <v>0</v>
      </c>
      <c r="D8" s="27">
        <f t="shared" si="1"/>
        <v>0</v>
      </c>
      <c r="E8" s="27">
        <f t="shared" si="1"/>
        <v>0</v>
      </c>
      <c r="F8" s="27">
        <f t="shared" si="1"/>
        <v>0</v>
      </c>
      <c r="G8" s="27">
        <f t="shared" si="1"/>
        <v>0</v>
      </c>
      <c r="H8" s="27">
        <f t="shared" si="1"/>
        <v>0</v>
      </c>
      <c r="I8" s="27">
        <f t="shared" si="1"/>
        <v>0</v>
      </c>
      <c r="J8" s="27">
        <f t="shared" si="1"/>
        <v>0</v>
      </c>
      <c r="K8" s="23">
        <v>45908.0</v>
      </c>
      <c r="L8" s="28">
        <v>1.0</v>
      </c>
    </row>
    <row r="9" ht="15.0" customHeight="1">
      <c r="K9" s="23">
        <v>45909.0</v>
      </c>
    </row>
    <row r="10" ht="15.0" customHeight="1">
      <c r="K10" s="23">
        <v>45910.0</v>
      </c>
    </row>
    <row r="11" ht="15.0" customHeight="1">
      <c r="A11" s="22" t="s">
        <v>1434</v>
      </c>
      <c r="K11" s="23">
        <v>45911.0</v>
      </c>
    </row>
    <row r="12" ht="15.0" customHeight="1">
      <c r="A12" s="25" t="s">
        <v>1435</v>
      </c>
      <c r="B12" s="27"/>
      <c r="C12" s="27"/>
      <c r="D12" s="27"/>
      <c r="E12" s="27"/>
      <c r="F12" s="27"/>
      <c r="G12" s="27"/>
      <c r="H12" s="27"/>
      <c r="I12" s="27"/>
      <c r="J12" s="27"/>
      <c r="K12" s="23">
        <v>45912.0</v>
      </c>
    </row>
    <row r="13" ht="15.0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3">
        <v>45913.0</v>
      </c>
    </row>
    <row r="14">
      <c r="A14" s="29"/>
      <c r="B14" s="27"/>
      <c r="C14" s="27"/>
      <c r="D14" s="27"/>
      <c r="E14" s="27"/>
      <c r="F14" s="27"/>
      <c r="G14" s="27"/>
      <c r="H14" s="27"/>
      <c r="I14" s="27"/>
      <c r="J14" s="27"/>
      <c r="K14" s="23">
        <v>45914.0</v>
      </c>
    </row>
    <row r="15" ht="15.0" customHeight="1">
      <c r="A15" s="29"/>
      <c r="B15" s="27"/>
      <c r="C15" s="27"/>
      <c r="D15" s="27"/>
      <c r="E15" s="27"/>
      <c r="F15" s="27"/>
      <c r="G15" s="27"/>
      <c r="H15" s="27"/>
      <c r="I15" s="27"/>
      <c r="J15" s="27"/>
      <c r="K15" s="23">
        <v>45915.0</v>
      </c>
      <c r="L15" s="28">
        <v>2.0</v>
      </c>
    </row>
    <row r="16" ht="15.0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3">
        <v>45916.0</v>
      </c>
    </row>
    <row r="17" ht="15.0" customHeight="1">
      <c r="A17" s="29"/>
      <c r="B17" s="27"/>
      <c r="C17" s="27"/>
      <c r="D17" s="27"/>
      <c r="E17" s="27"/>
      <c r="F17" s="27"/>
      <c r="G17" s="27"/>
      <c r="H17" s="27"/>
      <c r="I17" s="27"/>
      <c r="J17" s="27"/>
      <c r="K17" s="23">
        <v>45917.0</v>
      </c>
    </row>
    <row r="18" ht="15.0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3">
        <v>45918.0</v>
      </c>
    </row>
    <row r="19" ht="15.0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3">
        <v>45919.0</v>
      </c>
    </row>
    <row r="20" ht="15.0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3">
        <v>45920.0</v>
      </c>
    </row>
    <row r="21" ht="15.0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3">
        <v>45921.0</v>
      </c>
    </row>
    <row r="22" ht="15.0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3">
        <v>45922.0</v>
      </c>
      <c r="L22" s="28">
        <v>3.0</v>
      </c>
    </row>
    <row r="23" ht="15.0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3">
        <v>45923.0</v>
      </c>
    </row>
    <row r="24" ht="15.0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3">
        <v>45924.0</v>
      </c>
    </row>
    <row r="25" ht="15.0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3">
        <v>45925.0</v>
      </c>
    </row>
    <row r="26" ht="15.0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3">
        <v>45926.0</v>
      </c>
    </row>
    <row r="27" ht="15.0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3">
        <v>45927.0</v>
      </c>
    </row>
    <row r="28" ht="15.0" customHeight="1">
      <c r="B28" s="27"/>
      <c r="C28" s="27"/>
      <c r="D28" s="27"/>
      <c r="E28" s="27"/>
      <c r="F28" s="27"/>
      <c r="G28" s="27"/>
      <c r="H28" s="27"/>
      <c r="I28" s="27"/>
      <c r="J28" s="27"/>
      <c r="K28" s="23">
        <v>45928.0</v>
      </c>
    </row>
    <row r="29" ht="15.0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3">
        <v>45929.0</v>
      </c>
      <c r="L29" s="28">
        <v>4.0</v>
      </c>
    </row>
    <row r="30" ht="15.0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3">
        <v>45930.0</v>
      </c>
    </row>
    <row r="31" ht="15.0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3">
        <v>45931.0</v>
      </c>
    </row>
    <row r="32" ht="15.0" customHeight="1">
      <c r="K32" s="23">
        <v>45932.0</v>
      </c>
    </row>
    <row r="33" ht="15.0" customHeight="1">
      <c r="A33" s="30" t="s">
        <v>1436</v>
      </c>
      <c r="B33" s="30"/>
      <c r="C33" s="30"/>
      <c r="D33" s="30"/>
      <c r="E33" s="30"/>
      <c r="F33" s="30"/>
      <c r="K33" s="23">
        <v>45933.0</v>
      </c>
    </row>
    <row r="34" ht="15.0" customHeight="1">
      <c r="A34" s="31" t="s">
        <v>1437</v>
      </c>
      <c r="B34" s="30" t="s">
        <v>1438</v>
      </c>
      <c r="C34" s="30" t="s">
        <v>1439</v>
      </c>
      <c r="D34" s="30" t="s">
        <v>1440</v>
      </c>
      <c r="E34" s="30" t="s">
        <v>1441</v>
      </c>
      <c r="F34" s="30" t="s">
        <v>1442</v>
      </c>
      <c r="K34" s="23">
        <v>45934.0</v>
      </c>
    </row>
    <row r="35" ht="15.0" customHeight="1">
      <c r="A35" s="30" t="s">
        <v>1443</v>
      </c>
      <c r="B35" s="30"/>
      <c r="C35" s="30"/>
      <c r="D35" s="30"/>
      <c r="E35" s="30"/>
      <c r="F35" s="30"/>
      <c r="K35" s="23">
        <v>45935.0</v>
      </c>
    </row>
    <row r="36" ht="15.0" customHeight="1">
      <c r="A36" s="30" t="s">
        <v>1444</v>
      </c>
      <c r="B36" s="30"/>
      <c r="C36" s="30"/>
      <c r="D36" s="30" t="s">
        <v>1445</v>
      </c>
      <c r="E36" s="30" t="s">
        <v>1446</v>
      </c>
      <c r="F36" s="30"/>
      <c r="K36" s="23">
        <v>45936.0</v>
      </c>
      <c r="L36" s="28">
        <v>5.0</v>
      </c>
    </row>
    <row r="37" ht="15.0" customHeight="1">
      <c r="A37" s="30" t="s">
        <v>1447</v>
      </c>
      <c r="B37" s="30"/>
      <c r="C37" s="30"/>
      <c r="D37" s="30" t="s">
        <v>1448</v>
      </c>
      <c r="E37" s="30" t="s">
        <v>1445</v>
      </c>
      <c r="F37" s="30" t="s">
        <v>1449</v>
      </c>
      <c r="K37" s="23">
        <v>45937.0</v>
      </c>
    </row>
    <row r="38" ht="15.0" customHeight="1">
      <c r="A38" s="30" t="s">
        <v>1450</v>
      </c>
      <c r="B38" s="30"/>
      <c r="C38" s="30" t="s">
        <v>1451</v>
      </c>
      <c r="D38" s="30" t="s">
        <v>1448</v>
      </c>
      <c r="E38" s="30" t="s">
        <v>1445</v>
      </c>
      <c r="F38" s="30" t="s">
        <v>1449</v>
      </c>
      <c r="K38" s="23">
        <v>45938.0</v>
      </c>
    </row>
    <row r="39" ht="15.0" customHeight="1">
      <c r="A39" s="30" t="s">
        <v>1452</v>
      </c>
      <c r="B39" s="30" t="s">
        <v>1449</v>
      </c>
      <c r="C39" s="30" t="s">
        <v>1451</v>
      </c>
      <c r="D39" s="30" t="s">
        <v>1453</v>
      </c>
      <c r="E39" s="30" t="s">
        <v>1454</v>
      </c>
      <c r="F39" s="30" t="s">
        <v>1451</v>
      </c>
      <c r="K39" s="23">
        <v>45939.0</v>
      </c>
    </row>
    <row r="40" ht="15.0" customHeight="1">
      <c r="A40" s="30" t="s">
        <v>1455</v>
      </c>
      <c r="B40" s="30" t="s">
        <v>1448</v>
      </c>
      <c r="C40" s="30" t="s">
        <v>1446</v>
      </c>
      <c r="D40" s="30" t="s">
        <v>1453</v>
      </c>
      <c r="E40" s="30" t="s">
        <v>1454</v>
      </c>
      <c r="F40" s="32" t="s">
        <v>1453</v>
      </c>
      <c r="K40" s="23">
        <v>45940.0</v>
      </c>
    </row>
    <row r="41" ht="15.0" customHeight="1">
      <c r="A41" s="32" t="s">
        <v>1456</v>
      </c>
      <c r="B41" s="32" t="s">
        <v>1454</v>
      </c>
      <c r="C41" s="32" t="s">
        <v>1446</v>
      </c>
      <c r="D41" s="32"/>
      <c r="E41" s="32"/>
      <c r="F41" s="32"/>
      <c r="K41" s="23">
        <v>45941.0</v>
      </c>
    </row>
    <row r="42" ht="15.0" customHeight="1">
      <c r="K42" s="23">
        <v>45942.0</v>
      </c>
    </row>
    <row r="43" ht="15.0" customHeight="1">
      <c r="B43" s="30"/>
      <c r="C43" s="30"/>
      <c r="D43" s="30"/>
      <c r="E43" s="30"/>
      <c r="F43" s="30"/>
      <c r="G43" s="30"/>
      <c r="H43" s="30"/>
      <c r="I43" s="30"/>
      <c r="K43" s="23">
        <v>45943.0</v>
      </c>
      <c r="L43" s="28">
        <v>6.0</v>
      </c>
    </row>
    <row r="44" ht="15.0" customHeight="1">
      <c r="A44" s="30"/>
      <c r="F44" s="30"/>
      <c r="G44" s="30"/>
      <c r="K44" s="23">
        <v>45944.0</v>
      </c>
    </row>
    <row r="45" ht="15.0" customHeight="1">
      <c r="A45" s="30"/>
      <c r="K45" s="23">
        <v>45945.0</v>
      </c>
    </row>
    <row r="46" ht="15.0" customHeight="1">
      <c r="A46" s="30"/>
      <c r="K46" s="23">
        <v>45946.0</v>
      </c>
    </row>
    <row r="47" ht="15.0" customHeight="1">
      <c r="A47" s="30"/>
      <c r="K47" s="23">
        <v>45947.0</v>
      </c>
    </row>
    <row r="48" ht="15.0" customHeight="1">
      <c r="A48" s="30"/>
      <c r="K48" s="23">
        <v>45948.0</v>
      </c>
    </row>
    <row r="49" ht="15.0" customHeight="1">
      <c r="K49" s="23">
        <v>45949.0</v>
      </c>
    </row>
    <row r="50" ht="15.0" customHeight="1">
      <c r="K50" s="23">
        <v>45950.0</v>
      </c>
      <c r="L50" s="28">
        <v>7.0</v>
      </c>
    </row>
    <row r="51" ht="15.0" customHeight="1">
      <c r="K51" s="23">
        <v>45951.0</v>
      </c>
    </row>
    <row r="52" ht="15.0" customHeight="1">
      <c r="K52" s="23">
        <v>45952.0</v>
      </c>
    </row>
    <row r="53" ht="15.0" customHeight="1">
      <c r="K53" s="23">
        <v>45953.0</v>
      </c>
    </row>
    <row r="54" ht="15.0" customHeight="1">
      <c r="K54" s="23">
        <v>45954.0</v>
      </c>
    </row>
    <row r="55" ht="15.0" customHeight="1">
      <c r="K55" s="23">
        <v>45955.0</v>
      </c>
    </row>
    <row r="56" ht="15.0" customHeight="1">
      <c r="K56" s="23">
        <v>45956.0</v>
      </c>
    </row>
    <row r="57" ht="15.0" customHeight="1">
      <c r="K57" s="23">
        <v>45957.0</v>
      </c>
      <c r="L57" s="28">
        <v>8.0</v>
      </c>
    </row>
    <row r="58" ht="15.0" customHeight="1">
      <c r="K58" s="23">
        <v>45958.0</v>
      </c>
    </row>
    <row r="59" ht="15.0" customHeight="1">
      <c r="K59" s="23">
        <v>45959.0</v>
      </c>
    </row>
    <row r="60" ht="15.0" customHeight="1">
      <c r="K60" s="23">
        <v>45960.0</v>
      </c>
    </row>
    <row r="61" ht="15.0" customHeight="1">
      <c r="K61" s="23">
        <v>45961.0</v>
      </c>
    </row>
    <row r="62" ht="15.0" customHeight="1">
      <c r="K62" s="23">
        <v>45962.0</v>
      </c>
    </row>
    <row r="63" ht="15.0" customHeight="1">
      <c r="K63" s="23">
        <v>45963.0</v>
      </c>
    </row>
    <row r="64" ht="15.0" customHeight="1">
      <c r="K64" s="23">
        <v>45964.0</v>
      </c>
      <c r="L64" s="28">
        <v>9.0</v>
      </c>
    </row>
    <row r="65" ht="15.0" customHeight="1">
      <c r="K65" s="23">
        <v>45965.0</v>
      </c>
    </row>
    <row r="66" ht="15.0" customHeight="1">
      <c r="K66" s="23">
        <v>45966.0</v>
      </c>
    </row>
    <row r="67" ht="15.0" customHeight="1">
      <c r="K67" s="23">
        <v>45967.0</v>
      </c>
    </row>
    <row r="68" ht="15.0" customHeight="1">
      <c r="K68" s="23">
        <v>45968.0</v>
      </c>
    </row>
    <row r="69" ht="15.0" customHeight="1">
      <c r="K69" s="23">
        <v>45969.0</v>
      </c>
    </row>
    <row r="70" ht="15.0" customHeight="1">
      <c r="K70" s="23">
        <v>45970.0</v>
      </c>
    </row>
    <row r="71" ht="15.0" customHeight="1">
      <c r="K71" s="23">
        <v>45971.0</v>
      </c>
      <c r="L71" s="28">
        <v>10.0</v>
      </c>
    </row>
    <row r="72" ht="15.0" customHeight="1">
      <c r="K72" s="23">
        <v>45972.0</v>
      </c>
    </row>
    <row r="73" ht="15.0" customHeight="1">
      <c r="K73" s="23">
        <v>45973.0</v>
      </c>
    </row>
    <row r="74" ht="15.0" customHeight="1">
      <c r="K74" s="23">
        <v>45974.0</v>
      </c>
    </row>
    <row r="75" ht="15.0" customHeight="1">
      <c r="K75" s="23">
        <v>45975.0</v>
      </c>
    </row>
    <row r="76" ht="15.0" customHeight="1">
      <c r="K76" s="23">
        <v>45976.0</v>
      </c>
    </row>
    <row r="77" ht="15.0" customHeight="1">
      <c r="K77" s="23">
        <v>45977.0</v>
      </c>
    </row>
    <row r="78" ht="15.0" customHeight="1">
      <c r="K78" s="23">
        <v>45978.0</v>
      </c>
      <c r="L78" s="28">
        <v>11.0</v>
      </c>
    </row>
    <row r="79" ht="15.0" customHeight="1">
      <c r="K79" s="23">
        <v>45979.0</v>
      </c>
    </row>
    <row r="80" ht="15.0" customHeight="1">
      <c r="K80" s="23">
        <v>45980.0</v>
      </c>
    </row>
    <row r="81" ht="15.0" customHeight="1">
      <c r="K81" s="23">
        <v>45981.0</v>
      </c>
    </row>
    <row r="82" ht="15.0" customHeight="1">
      <c r="K82" s="23">
        <v>45982.0</v>
      </c>
    </row>
    <row r="83" ht="15.0" customHeight="1">
      <c r="K83" s="23">
        <v>45983.0</v>
      </c>
    </row>
    <row r="84" ht="15.0" customHeight="1">
      <c r="K84" s="23">
        <v>45984.0</v>
      </c>
    </row>
    <row r="85" ht="15.0" customHeight="1">
      <c r="K85" s="23">
        <v>45985.0</v>
      </c>
      <c r="L85" s="28">
        <v>12.0</v>
      </c>
    </row>
    <row r="86" ht="15.0" customHeight="1">
      <c r="K86" s="23">
        <v>45986.0</v>
      </c>
    </row>
    <row r="87" ht="15.0" customHeight="1">
      <c r="K87" s="23">
        <v>45987.0</v>
      </c>
    </row>
    <row r="88" ht="15.0" customHeight="1">
      <c r="K88" s="23">
        <v>45988.0</v>
      </c>
    </row>
    <row r="89" ht="15.0" customHeight="1">
      <c r="K89" s="23">
        <v>45989.0</v>
      </c>
    </row>
    <row r="90" ht="15.0" customHeight="1">
      <c r="K90" s="23">
        <v>45990.0</v>
      </c>
    </row>
    <row r="91" ht="15.0" customHeight="1">
      <c r="K91" s="23">
        <v>45991.0</v>
      </c>
    </row>
    <row r="92" ht="15.0" customHeight="1">
      <c r="K92" s="23">
        <v>45992.0</v>
      </c>
      <c r="L92" s="28">
        <v>13.0</v>
      </c>
    </row>
    <row r="93" ht="15.0" customHeight="1">
      <c r="K93" s="23">
        <v>45993.0</v>
      </c>
    </row>
    <row r="94" ht="15.0" customHeight="1">
      <c r="K94" s="23">
        <v>45994.0</v>
      </c>
    </row>
    <row r="95" ht="15.0" customHeight="1">
      <c r="K95" s="23">
        <v>45995.0</v>
      </c>
    </row>
    <row r="96" ht="15.0" customHeight="1">
      <c r="K96" s="23">
        <v>45996.0</v>
      </c>
    </row>
    <row r="97" ht="15.0" customHeight="1">
      <c r="K97" s="23">
        <v>45997.0</v>
      </c>
    </row>
    <row r="98" ht="15.0" customHeight="1">
      <c r="K98" s="23">
        <v>45998.0</v>
      </c>
    </row>
    <row r="99" ht="15.0" customHeight="1">
      <c r="K99" s="23">
        <v>45999.0</v>
      </c>
      <c r="L99" s="28">
        <v>14.0</v>
      </c>
    </row>
    <row r="100" ht="15.0" customHeight="1">
      <c r="K100" s="23">
        <v>46000.0</v>
      </c>
    </row>
    <row r="101" ht="15.0" customHeight="1">
      <c r="K101" s="23">
        <v>46001.0</v>
      </c>
    </row>
    <row r="102" ht="15.0" customHeight="1">
      <c r="K102" s="23">
        <v>46002.0</v>
      </c>
    </row>
    <row r="103" ht="15.0" customHeight="1">
      <c r="K103" s="23">
        <v>46003.0</v>
      </c>
    </row>
    <row r="104" ht="15.0" customHeight="1">
      <c r="K104" s="23">
        <v>46004.0</v>
      </c>
    </row>
    <row r="105" ht="15.0" customHeight="1">
      <c r="K105" s="23">
        <v>46005.0</v>
      </c>
    </row>
    <row r="106" ht="15.0" customHeight="1">
      <c r="K106" s="23">
        <v>46006.0</v>
      </c>
      <c r="L106" s="28">
        <v>15.0</v>
      </c>
    </row>
    <row r="107" ht="15.0" customHeight="1">
      <c r="K107" s="23">
        <v>46007.0</v>
      </c>
    </row>
    <row r="108" ht="15.0" customHeight="1">
      <c r="K108" s="23">
        <v>46008.0</v>
      </c>
    </row>
    <row r="109" ht="15.0" customHeight="1">
      <c r="K109" s="23">
        <v>46009.0</v>
      </c>
    </row>
    <row r="110" ht="15.0" customHeight="1">
      <c r="K110" s="23">
        <v>46010.0</v>
      </c>
    </row>
    <row r="111" ht="15.0" customHeight="1">
      <c r="K111" s="23">
        <v>46011.0</v>
      </c>
    </row>
    <row r="112" ht="15.0" customHeight="1">
      <c r="K112" s="23">
        <v>46012.0</v>
      </c>
    </row>
    <row r="113" ht="15.0" customHeight="1">
      <c r="K113" s="23">
        <v>46013.0</v>
      </c>
      <c r="L113" s="28">
        <v>15.0</v>
      </c>
    </row>
    <row r="114" ht="15.0" customHeight="1">
      <c r="K114" s="23">
        <v>46014.0</v>
      </c>
    </row>
    <row r="115" ht="15.0" customHeight="1">
      <c r="K115" s="23">
        <v>46015.0</v>
      </c>
    </row>
    <row r="116" ht="15.0" customHeight="1">
      <c r="K116" s="23">
        <v>46016.0</v>
      </c>
    </row>
    <row r="117" ht="15.0" customHeight="1">
      <c r="K117" s="23">
        <v>46017.0</v>
      </c>
    </row>
    <row r="118" ht="15.0" customHeight="1">
      <c r="K118" s="23">
        <v>46018.0</v>
      </c>
    </row>
    <row r="119" ht="15.0" customHeight="1">
      <c r="K119" s="23">
        <v>46019.0</v>
      </c>
    </row>
    <row r="120" ht="15.0" customHeight="1">
      <c r="K120" s="23">
        <v>46020.0</v>
      </c>
      <c r="L120" s="28">
        <v>15.0</v>
      </c>
    </row>
    <row r="121" ht="15.0" customHeight="1">
      <c r="K121" s="23">
        <v>46021.0</v>
      </c>
    </row>
    <row r="122" ht="15.0" customHeight="1">
      <c r="K122" s="23">
        <v>46022.0</v>
      </c>
    </row>
    <row r="123" ht="15.0" customHeight="1">
      <c r="K123" s="23">
        <v>46023.0</v>
      </c>
    </row>
    <row r="124" ht="15.0" customHeight="1">
      <c r="K124" s="23">
        <v>46024.0</v>
      </c>
    </row>
    <row r="125" ht="15.0" customHeight="1">
      <c r="K125" s="23">
        <v>46025.0</v>
      </c>
    </row>
    <row r="126" ht="15.0" customHeight="1">
      <c r="K126" s="23">
        <v>46026.0</v>
      </c>
    </row>
    <row r="127" ht="15.0" customHeight="1">
      <c r="K127" s="23">
        <v>46027.0</v>
      </c>
      <c r="L127" s="28">
        <v>16.0</v>
      </c>
    </row>
    <row r="128" ht="15.0" customHeight="1">
      <c r="K128" s="23">
        <v>46028.0</v>
      </c>
    </row>
    <row r="129" ht="15.0" customHeight="1">
      <c r="K129" s="23">
        <v>46029.0</v>
      </c>
    </row>
    <row r="130" ht="15.0" customHeight="1">
      <c r="K130" s="23">
        <v>46030.0</v>
      </c>
    </row>
    <row r="131" ht="15.0" customHeight="1">
      <c r="K131" s="23">
        <v>46031.0</v>
      </c>
    </row>
    <row r="132" ht="15.0" customHeight="1">
      <c r="K132" s="23">
        <v>46032.0</v>
      </c>
    </row>
    <row r="133" ht="15.0" customHeight="1">
      <c r="K133" s="23">
        <v>46033.0</v>
      </c>
    </row>
    <row r="134" ht="15.0" customHeight="1">
      <c r="K134" s="23">
        <v>46034.0</v>
      </c>
      <c r="L134" s="28">
        <v>17.0</v>
      </c>
    </row>
    <row r="135" ht="15.0" customHeight="1">
      <c r="K135" s="23">
        <v>46035.0</v>
      </c>
    </row>
    <row r="136" ht="15.0" customHeight="1">
      <c r="K136" s="23">
        <v>46036.0</v>
      </c>
    </row>
    <row r="137" ht="15.0" customHeight="1">
      <c r="K137" s="23">
        <v>46037.0</v>
      </c>
    </row>
    <row r="138" ht="15.0" customHeight="1">
      <c r="K138" s="23">
        <v>46038.0</v>
      </c>
    </row>
    <row r="139" ht="15.0" customHeight="1">
      <c r="K139" s="23">
        <v>46039.0</v>
      </c>
    </row>
    <row r="140" ht="15.0" customHeight="1">
      <c r="K140" s="23">
        <v>46040.0</v>
      </c>
    </row>
    <row r="141" ht="15.0" customHeight="1">
      <c r="K141" s="23">
        <v>46041.0</v>
      </c>
      <c r="L141" s="28">
        <v>18.0</v>
      </c>
    </row>
    <row r="142" ht="15.0" customHeight="1">
      <c r="K142" s="23">
        <v>46042.0</v>
      </c>
    </row>
    <row r="143" ht="15.0" customHeight="1">
      <c r="K143" s="23">
        <v>46043.0</v>
      </c>
    </row>
    <row r="144" ht="15.0" customHeight="1">
      <c r="K144" s="23">
        <v>46044.0</v>
      </c>
    </row>
    <row r="145" ht="15.0" customHeight="1">
      <c r="K145" s="23">
        <v>46045.0</v>
      </c>
    </row>
    <row r="146" ht="15.0" customHeight="1">
      <c r="K146" s="23">
        <v>46046.0</v>
      </c>
    </row>
    <row r="147" ht="15.0" customHeight="1">
      <c r="K147" s="23">
        <v>46047.0</v>
      </c>
    </row>
    <row r="148" ht="15.0" customHeight="1">
      <c r="K148" s="23">
        <v>46048.0</v>
      </c>
      <c r="L148" s="28">
        <v>19.0</v>
      </c>
    </row>
    <row r="149" ht="15.0" customHeight="1">
      <c r="K149" s="23">
        <v>46049.0</v>
      </c>
    </row>
    <row r="150" ht="15.0" customHeight="1">
      <c r="K150" s="23">
        <v>46050.0</v>
      </c>
    </row>
    <row r="151" ht="15.0" customHeight="1">
      <c r="K151" s="23">
        <v>46051.0</v>
      </c>
    </row>
    <row r="152" ht="15.0" customHeight="1">
      <c r="K152" s="23">
        <v>46052.0</v>
      </c>
    </row>
    <row r="153" ht="15.0" customHeight="1">
      <c r="K153" s="23">
        <v>46053.0</v>
      </c>
    </row>
    <row r="154" ht="15.0" customHeight="1">
      <c r="K154" s="23">
        <v>46054.0</v>
      </c>
    </row>
    <row r="155" ht="15.0" customHeight="1">
      <c r="K155" s="23">
        <v>46055.0</v>
      </c>
      <c r="L155" s="28">
        <v>20.0</v>
      </c>
    </row>
    <row r="156" ht="15.0" customHeight="1">
      <c r="K156" s="23">
        <v>46056.0</v>
      </c>
    </row>
    <row r="157" ht="15.0" customHeight="1">
      <c r="K157" s="23">
        <v>46057.0</v>
      </c>
    </row>
    <row r="158" ht="15.0" customHeight="1">
      <c r="K158" s="23">
        <v>46058.0</v>
      </c>
    </row>
    <row r="159" ht="15.0" customHeight="1">
      <c r="K159" s="23">
        <v>46059.0</v>
      </c>
    </row>
    <row r="160" ht="15.0" customHeight="1">
      <c r="K160" s="23">
        <v>46060.0</v>
      </c>
    </row>
    <row r="161" ht="15.0" customHeight="1">
      <c r="K161" s="23">
        <v>46061.0</v>
      </c>
    </row>
    <row r="162" ht="15.0" customHeight="1">
      <c r="K162" s="23">
        <v>46062.0</v>
      </c>
      <c r="L162" s="28">
        <v>21.0</v>
      </c>
    </row>
    <row r="163" ht="15.0" customHeight="1">
      <c r="K163" s="23">
        <v>46063.0</v>
      </c>
    </row>
    <row r="164" ht="15.0" customHeight="1">
      <c r="K164" s="23">
        <v>46064.0</v>
      </c>
    </row>
    <row r="165" ht="15.0" customHeight="1">
      <c r="K165" s="23">
        <v>46065.0</v>
      </c>
    </row>
    <row r="166" ht="15.0" customHeight="1">
      <c r="K166" s="23">
        <v>46066.0</v>
      </c>
    </row>
    <row r="167" ht="15.0" customHeight="1">
      <c r="K167" s="23">
        <v>46067.0</v>
      </c>
    </row>
    <row r="168" ht="15.0" customHeight="1">
      <c r="K168" s="23">
        <v>46068.0</v>
      </c>
    </row>
    <row r="169" ht="15.0" customHeight="1">
      <c r="K169" s="23">
        <v>46069.0</v>
      </c>
      <c r="L169" s="28">
        <v>22.0</v>
      </c>
    </row>
    <row r="170" ht="15.0" customHeight="1">
      <c r="K170" s="23">
        <v>46070.0</v>
      </c>
    </row>
    <row r="171" ht="15.0" customHeight="1">
      <c r="K171" s="23">
        <v>46071.0</v>
      </c>
    </row>
    <row r="172" ht="15.0" customHeight="1">
      <c r="K172" s="23">
        <v>46072.0</v>
      </c>
    </row>
    <row r="173" ht="15.0" customHeight="1">
      <c r="K173" s="23">
        <v>46073.0</v>
      </c>
    </row>
    <row r="174" ht="15.0" customHeight="1">
      <c r="K174" s="23">
        <v>46074.0</v>
      </c>
    </row>
    <row r="175" ht="15.0" customHeight="1">
      <c r="K175" s="23">
        <v>46075.0</v>
      </c>
    </row>
    <row r="176" ht="15.0" customHeight="1">
      <c r="K176" s="23">
        <v>46076.0</v>
      </c>
      <c r="L176" s="28">
        <v>23.0</v>
      </c>
    </row>
    <row r="177" ht="15.0" customHeight="1">
      <c r="K177" s="23">
        <v>46077.0</v>
      </c>
    </row>
    <row r="178" ht="15.0" customHeight="1">
      <c r="K178" s="23">
        <v>46078.0</v>
      </c>
    </row>
    <row r="179" ht="15.0" customHeight="1">
      <c r="K179" s="23">
        <v>46079.0</v>
      </c>
    </row>
    <row r="180" ht="15.0" customHeight="1">
      <c r="K180" s="23">
        <v>46080.0</v>
      </c>
    </row>
    <row r="181" ht="15.0" customHeight="1">
      <c r="K181" s="23">
        <v>46081.0</v>
      </c>
    </row>
    <row r="182" ht="15.0" customHeight="1">
      <c r="K182" s="23">
        <v>46082.0</v>
      </c>
    </row>
    <row r="183" ht="15.0" customHeight="1">
      <c r="K183" s="23">
        <v>46083.0</v>
      </c>
      <c r="L183" s="28">
        <v>24.0</v>
      </c>
    </row>
    <row r="184" ht="15.0" customHeight="1">
      <c r="K184" s="23">
        <v>46084.0</v>
      </c>
    </row>
    <row r="185" ht="15.0" customHeight="1">
      <c r="K185" s="23">
        <v>46085.0</v>
      </c>
    </row>
    <row r="186" ht="15.0" customHeight="1">
      <c r="K186" s="23">
        <v>46086.0</v>
      </c>
    </row>
    <row r="187" ht="15.0" customHeight="1">
      <c r="K187" s="23">
        <v>46087.0</v>
      </c>
    </row>
    <row r="188" ht="15.0" customHeight="1">
      <c r="K188" s="23">
        <v>46088.0</v>
      </c>
    </row>
    <row r="189" ht="15.0" customHeight="1">
      <c r="K189" s="23">
        <v>46089.0</v>
      </c>
    </row>
    <row r="190" ht="15.0" customHeight="1">
      <c r="K190" s="23">
        <v>46090.0</v>
      </c>
      <c r="L190" s="28">
        <v>25.0</v>
      </c>
    </row>
    <row r="191" ht="15.0" customHeight="1">
      <c r="K191" s="23">
        <v>46091.0</v>
      </c>
    </row>
    <row r="192" ht="15.0" customHeight="1">
      <c r="K192" s="23">
        <v>46092.0</v>
      </c>
    </row>
    <row r="193" ht="15.0" customHeight="1">
      <c r="K193" s="23">
        <v>46093.0</v>
      </c>
    </row>
    <row r="194" ht="15.0" customHeight="1">
      <c r="K194" s="23">
        <v>46094.0</v>
      </c>
    </row>
    <row r="195" ht="15.0" customHeight="1">
      <c r="K195" s="23">
        <v>46095.0</v>
      </c>
    </row>
    <row r="196" ht="15.0" customHeight="1">
      <c r="K196" s="23">
        <v>46096.0</v>
      </c>
    </row>
    <row r="197" ht="15.0" customHeight="1">
      <c r="K197" s="23">
        <v>46097.0</v>
      </c>
      <c r="L197" s="28">
        <v>26.0</v>
      </c>
    </row>
    <row r="198" ht="15.0" customHeight="1">
      <c r="K198" s="23">
        <v>46098.0</v>
      </c>
    </row>
    <row r="199" ht="15.0" customHeight="1">
      <c r="K199" s="23">
        <v>46099.0</v>
      </c>
    </row>
    <row r="200" ht="15.0" customHeight="1">
      <c r="K200" s="23">
        <v>46100.0</v>
      </c>
    </row>
    <row r="201" ht="15.0" customHeight="1">
      <c r="K201" s="23">
        <v>46101.0</v>
      </c>
    </row>
    <row r="202" ht="15.0" customHeight="1">
      <c r="K202" s="23">
        <v>46102.0</v>
      </c>
    </row>
    <row r="203" ht="15.0" customHeight="1">
      <c r="K203" s="23">
        <v>46103.0</v>
      </c>
    </row>
    <row r="204" ht="15.0" customHeight="1">
      <c r="K204" s="23">
        <v>46104.0</v>
      </c>
      <c r="L204" s="28">
        <v>27.0</v>
      </c>
    </row>
    <row r="205" ht="15.0" customHeight="1">
      <c r="K205" s="23">
        <v>46105.0</v>
      </c>
    </row>
    <row r="206" ht="15.0" customHeight="1">
      <c r="K206" s="23">
        <v>46106.0</v>
      </c>
    </row>
    <row r="207" ht="15.0" customHeight="1">
      <c r="K207" s="23">
        <v>46107.0</v>
      </c>
    </row>
    <row r="208" ht="15.0" customHeight="1">
      <c r="K208" s="23">
        <v>46108.0</v>
      </c>
    </row>
    <row r="209" ht="15.0" customHeight="1">
      <c r="K209" s="23">
        <v>46109.0</v>
      </c>
    </row>
    <row r="210" ht="15.0" customHeight="1">
      <c r="K210" s="23">
        <v>46110.0</v>
      </c>
    </row>
    <row r="211" ht="15.0" customHeight="1">
      <c r="K211" s="23">
        <v>46111.0</v>
      </c>
      <c r="L211" s="28">
        <v>28.0</v>
      </c>
    </row>
    <row r="212" ht="15.0" customHeight="1">
      <c r="K212" s="23">
        <v>46112.0</v>
      </c>
    </row>
    <row r="213" ht="15.0" customHeight="1">
      <c r="K213" s="23">
        <v>46113.0</v>
      </c>
    </row>
    <row r="214" ht="15.0" customHeight="1">
      <c r="K214" s="23">
        <v>46114.0</v>
      </c>
    </row>
    <row r="215" ht="15.0" customHeight="1">
      <c r="K215" s="23">
        <v>46115.0</v>
      </c>
    </row>
    <row r="216" ht="15.0" customHeight="1">
      <c r="K216" s="23">
        <v>46116.0</v>
      </c>
    </row>
    <row r="217" ht="15.0" customHeight="1">
      <c r="K217" s="23">
        <v>46117.0</v>
      </c>
    </row>
    <row r="218" ht="15.0" customHeight="1">
      <c r="K218" s="23">
        <v>46118.0</v>
      </c>
      <c r="L218" s="28">
        <v>29.0</v>
      </c>
    </row>
    <row r="219" ht="15.0" customHeight="1">
      <c r="K219" s="23">
        <v>46119.0</v>
      </c>
    </row>
    <row r="220" ht="15.0" customHeight="1">
      <c r="K220" s="23">
        <v>46120.0</v>
      </c>
    </row>
    <row r="221" ht="15.0" customHeight="1">
      <c r="K221" s="23">
        <v>46121.0</v>
      </c>
    </row>
    <row r="222" ht="15.0" customHeight="1">
      <c r="K222" s="23">
        <v>46122.0</v>
      </c>
    </row>
    <row r="223" ht="15.0" customHeight="1">
      <c r="K223" s="23">
        <v>46123.0</v>
      </c>
    </row>
    <row r="224" ht="15.0" customHeight="1">
      <c r="K224" s="23">
        <v>46124.0</v>
      </c>
    </row>
    <row r="225" ht="15.0" customHeight="1">
      <c r="K225" s="23">
        <v>46125.0</v>
      </c>
      <c r="L225" s="28">
        <v>30.0</v>
      </c>
    </row>
    <row r="226" ht="15.0" customHeight="1">
      <c r="K226" s="23">
        <v>46126.0</v>
      </c>
    </row>
    <row r="227" ht="15.0" customHeight="1">
      <c r="K227" s="23">
        <v>46127.0</v>
      </c>
    </row>
    <row r="228" ht="15.0" customHeight="1">
      <c r="K228" s="23">
        <v>46128.0</v>
      </c>
    </row>
    <row r="229" ht="15.0" customHeight="1">
      <c r="K229" s="23">
        <v>46129.0</v>
      </c>
    </row>
    <row r="230" ht="15.0" customHeight="1">
      <c r="K230" s="23">
        <v>46130.0</v>
      </c>
    </row>
    <row r="231" ht="15.0" customHeight="1">
      <c r="K231" s="23">
        <v>46131.0</v>
      </c>
    </row>
    <row r="232" ht="15.0" customHeight="1">
      <c r="K232" s="23">
        <v>46132.0</v>
      </c>
      <c r="L232" s="28">
        <v>31.0</v>
      </c>
    </row>
    <row r="233" ht="15.0" customHeight="1">
      <c r="K233" s="23">
        <v>46133.0</v>
      </c>
    </row>
    <row r="234" ht="15.0" customHeight="1">
      <c r="K234" s="23">
        <v>46134.0</v>
      </c>
    </row>
    <row r="235" ht="15.0" customHeight="1">
      <c r="K235" s="23">
        <v>46135.0</v>
      </c>
    </row>
    <row r="236" ht="15.0" customHeight="1">
      <c r="K236" s="23">
        <v>46136.0</v>
      </c>
    </row>
    <row r="237" ht="15.0" customHeight="1">
      <c r="K237" s="23">
        <v>46137.0</v>
      </c>
    </row>
    <row r="238" ht="15.0" customHeight="1">
      <c r="K238" s="23">
        <v>46138.0</v>
      </c>
    </row>
    <row r="239" ht="15.0" customHeight="1">
      <c r="K239" s="23">
        <v>46139.0</v>
      </c>
      <c r="L239" s="28">
        <v>32.0</v>
      </c>
    </row>
    <row r="240" ht="15.0" customHeight="1">
      <c r="K240" s="23">
        <v>46140.0</v>
      </c>
    </row>
    <row r="241" ht="15.0" customHeight="1">
      <c r="K241" s="23">
        <v>46141.0</v>
      </c>
    </row>
    <row r="242" ht="15.0" customHeight="1">
      <c r="K242" s="23">
        <v>46142.0</v>
      </c>
    </row>
    <row r="243" ht="15.0" customHeight="1">
      <c r="K243" s="23">
        <v>46143.0</v>
      </c>
    </row>
    <row r="244" ht="15.0" customHeight="1">
      <c r="K244" s="23">
        <v>46144.0</v>
      </c>
    </row>
    <row r="245" ht="15.0" customHeight="1">
      <c r="K245" s="23">
        <v>46145.0</v>
      </c>
    </row>
    <row r="246" ht="15.0" customHeight="1">
      <c r="K246" s="23">
        <v>46146.0</v>
      </c>
      <c r="L246" s="28">
        <v>33.0</v>
      </c>
    </row>
    <row r="247" ht="15.0" customHeight="1">
      <c r="K247" s="23">
        <v>46147.0</v>
      </c>
    </row>
    <row r="248" ht="15.0" customHeight="1">
      <c r="K248" s="23">
        <v>46148.0</v>
      </c>
    </row>
    <row r="249" ht="15.0" customHeight="1">
      <c r="K249" s="23">
        <v>46149.0</v>
      </c>
    </row>
    <row r="250" ht="15.0" customHeight="1">
      <c r="K250" s="23">
        <v>46150.0</v>
      </c>
    </row>
    <row r="251" ht="15.0" customHeight="1">
      <c r="K251" s="23">
        <v>46151.0</v>
      </c>
    </row>
    <row r="252" ht="15.0" customHeight="1">
      <c r="K252" s="23">
        <v>46152.0</v>
      </c>
    </row>
    <row r="253" ht="15.0" customHeight="1">
      <c r="K253" s="23">
        <v>46153.0</v>
      </c>
      <c r="L253" s="28">
        <v>34.0</v>
      </c>
    </row>
    <row r="254" ht="15.0" customHeight="1">
      <c r="K254" s="23">
        <v>46154.0</v>
      </c>
    </row>
    <row r="255" ht="15.0" customHeight="1">
      <c r="K255" s="23">
        <v>46155.0</v>
      </c>
    </row>
    <row r="256" ht="15.0" customHeight="1">
      <c r="K256" s="23">
        <v>46156.0</v>
      </c>
    </row>
    <row r="257" ht="15.0" customHeight="1">
      <c r="K257" s="23">
        <v>46157.0</v>
      </c>
    </row>
    <row r="258" ht="15.0" customHeight="1">
      <c r="K258" s="23">
        <v>46158.0</v>
      </c>
    </row>
    <row r="259" ht="15.0" customHeight="1">
      <c r="K259" s="23">
        <v>46159.0</v>
      </c>
    </row>
    <row r="260" ht="15.0" customHeight="1">
      <c r="K260" s="23">
        <v>46160.0</v>
      </c>
      <c r="L260" s="28">
        <v>35.0</v>
      </c>
    </row>
    <row r="261" ht="15.0" customHeight="1">
      <c r="K261" s="23">
        <v>46161.0</v>
      </c>
    </row>
    <row r="262" ht="15.0" customHeight="1">
      <c r="K262" s="23">
        <v>46162.0</v>
      </c>
    </row>
    <row r="263" ht="15.0" customHeight="1">
      <c r="K263" s="23">
        <v>46163.0</v>
      </c>
    </row>
    <row r="264" ht="15.0" customHeight="1">
      <c r="K264" s="23">
        <v>46164.0</v>
      </c>
    </row>
    <row r="265" ht="15.0" customHeight="1">
      <c r="K265" s="23">
        <v>46165.0</v>
      </c>
    </row>
    <row r="266" ht="15.0" customHeight="1">
      <c r="K266" s="23">
        <v>46166.0</v>
      </c>
    </row>
    <row r="267" ht="15.0" customHeight="1">
      <c r="K267" s="23">
        <v>46167.0</v>
      </c>
      <c r="L267" s="28">
        <v>36.0</v>
      </c>
    </row>
    <row r="268" ht="15.0" customHeight="1">
      <c r="K268" s="23">
        <v>46168.0</v>
      </c>
    </row>
    <row r="269" ht="15.0" customHeight="1">
      <c r="K269" s="23">
        <v>46169.0</v>
      </c>
    </row>
    <row r="270" ht="15.0" customHeight="1">
      <c r="K270" s="23">
        <v>46170.0</v>
      </c>
    </row>
    <row r="271" ht="15.0" customHeight="1">
      <c r="K271" s="23">
        <v>46171.0</v>
      </c>
    </row>
    <row r="272" ht="15.0" customHeight="1">
      <c r="K272" s="23">
        <v>46172.0</v>
      </c>
    </row>
    <row r="273" ht="15.0" customHeight="1">
      <c r="K273" s="23">
        <v>46173.0</v>
      </c>
    </row>
    <row r="274" ht="15.0" customHeight="1">
      <c r="K274" s="23">
        <v>46174.0</v>
      </c>
      <c r="L274" s="28">
        <v>37.0</v>
      </c>
    </row>
    <row r="275" ht="15.0" customHeight="1">
      <c r="K275" s="23">
        <v>46175.0</v>
      </c>
    </row>
    <row r="276" ht="15.0" customHeight="1">
      <c r="K276" s="23">
        <v>46176.0</v>
      </c>
    </row>
    <row r="277" ht="15.0" customHeight="1">
      <c r="K277" s="23">
        <v>46177.0</v>
      </c>
    </row>
    <row r="278" ht="15.0" customHeight="1">
      <c r="K278" s="23">
        <v>46178.0</v>
      </c>
    </row>
    <row r="279" ht="15.0" customHeight="1">
      <c r="K279" s="23">
        <v>46179.0</v>
      </c>
    </row>
    <row r="280" ht="15.0" customHeight="1">
      <c r="K280" s="23">
        <v>46180.0</v>
      </c>
    </row>
    <row r="281" ht="15.0" customHeight="1">
      <c r="K281" s="23">
        <v>46181.0</v>
      </c>
      <c r="L281" s="28">
        <v>38.0</v>
      </c>
    </row>
    <row r="282" ht="15.0" customHeight="1">
      <c r="K282" s="23">
        <v>46182.0</v>
      </c>
    </row>
    <row r="283" ht="15.0" customHeight="1">
      <c r="K283" s="23">
        <v>46183.0</v>
      </c>
    </row>
    <row r="284" ht="15.0" customHeight="1">
      <c r="K284" s="23">
        <v>46184.0</v>
      </c>
    </row>
    <row r="285" ht="15.0" customHeight="1">
      <c r="K285" s="23">
        <v>46185.0</v>
      </c>
    </row>
    <row r="286" ht="15.0" customHeight="1">
      <c r="K286" s="23">
        <v>46186.0</v>
      </c>
    </row>
    <row r="287" ht="15.0" customHeight="1">
      <c r="K287" s="23">
        <v>46187.0</v>
      </c>
    </row>
    <row r="288" ht="15.0" customHeight="1">
      <c r="K288" s="23"/>
      <c r="L288" s="28"/>
    </row>
    <row r="289" ht="15.0" customHeight="1">
      <c r="K289" s="23"/>
    </row>
    <row r="290" ht="15.0" customHeight="1">
      <c r="K290" s="23"/>
    </row>
    <row r="291" ht="15.0" customHeight="1">
      <c r="K291" s="23"/>
    </row>
    <row r="292" ht="15.0" customHeight="1">
      <c r="K292" s="23"/>
    </row>
    <row r="293" ht="15.0" customHeight="1">
      <c r="K293" s="23"/>
    </row>
    <row r="294" ht="15.0" customHeight="1">
      <c r="K294" s="23"/>
    </row>
    <row r="295" ht="15.0" customHeight="1">
      <c r="K295" s="23"/>
      <c r="L295" s="24"/>
    </row>
    <row r="296" ht="15.0" customHeight="1">
      <c r="K296" s="23"/>
      <c r="L296" s="24"/>
    </row>
    <row r="297" ht="15.0" customHeight="1">
      <c r="K297" s="23"/>
      <c r="L297" s="24"/>
    </row>
    <row r="298" ht="15.0" customHeight="1">
      <c r="K298" s="23"/>
      <c r="L298" s="24"/>
    </row>
    <row r="299" ht="15.0" customHeight="1">
      <c r="K299" s="23"/>
      <c r="L299" s="24"/>
    </row>
    <row r="300" ht="15.0" customHeight="1">
      <c r="K300" s="23"/>
      <c r="L300" s="24"/>
    </row>
    <row r="301" ht="15.0" customHeight="1">
      <c r="K301" s="23"/>
      <c r="L301" s="24"/>
    </row>
    <row r="302" ht="15.0" customHeight="1">
      <c r="K302" s="23"/>
      <c r="L302" s="24"/>
    </row>
    <row r="303" ht="15.0" customHeight="1">
      <c r="K303" s="23"/>
      <c r="L303" s="24"/>
    </row>
    <row r="304" ht="15.0" customHeight="1">
      <c r="K304" s="23"/>
      <c r="L304" s="24"/>
    </row>
    <row r="305" ht="15.0" customHeight="1">
      <c r="K305" s="23"/>
      <c r="L305" s="24"/>
    </row>
    <row r="306" ht="15.0" customHeight="1">
      <c r="K306" s="23"/>
      <c r="L306" s="24"/>
    </row>
    <row r="307" ht="15.0" customHeight="1">
      <c r="K307" s="23"/>
      <c r="L307" s="24"/>
    </row>
    <row r="308" ht="15.0" customHeight="1">
      <c r="K308" s="23"/>
      <c r="L308" s="24"/>
    </row>
    <row r="309" ht="15.0" customHeight="1">
      <c r="K309" s="23"/>
      <c r="L309" s="24"/>
    </row>
    <row r="310" ht="15.0" customHeight="1">
      <c r="K310" s="23"/>
      <c r="L310" s="24"/>
    </row>
    <row r="311" ht="15.0" customHeight="1">
      <c r="K311" s="23"/>
      <c r="L311" s="24"/>
    </row>
    <row r="312" ht="15.0" customHeight="1">
      <c r="K312" s="23"/>
      <c r="L312" s="24"/>
    </row>
    <row r="313" ht="15.0" customHeight="1">
      <c r="K313" s="23"/>
      <c r="L313" s="24"/>
    </row>
    <row r="314" ht="15.0" customHeight="1">
      <c r="K314" s="23"/>
      <c r="L314" s="24"/>
    </row>
    <row r="315" ht="15.0" customHeight="1">
      <c r="K315" s="23"/>
      <c r="L315" s="24"/>
    </row>
    <row r="316" ht="15.0" customHeight="1">
      <c r="K316" s="23"/>
      <c r="L316" s="24"/>
    </row>
    <row r="317" ht="15.0" customHeight="1">
      <c r="K317" s="23"/>
      <c r="L317" s="24"/>
    </row>
    <row r="318" ht="15.0" customHeight="1">
      <c r="K318" s="23"/>
      <c r="L318" s="24"/>
    </row>
    <row r="319" ht="15.0" customHeight="1">
      <c r="K319" s="23"/>
      <c r="L319" s="24"/>
    </row>
    <row r="320" ht="15.0" customHeight="1">
      <c r="K320" s="23"/>
      <c r="L320" s="24"/>
    </row>
    <row r="321" ht="15.0" customHeight="1">
      <c r="K321" s="23"/>
      <c r="L321" s="24"/>
    </row>
    <row r="322" ht="15.0" customHeight="1">
      <c r="K322" s="23"/>
      <c r="L322" s="24"/>
    </row>
    <row r="323" ht="15.0" customHeight="1">
      <c r="K323" s="23"/>
      <c r="L323" s="24"/>
    </row>
    <row r="324" ht="15.0" customHeight="1">
      <c r="K324" s="23"/>
      <c r="L324" s="24"/>
    </row>
    <row r="325" ht="15.0" customHeight="1">
      <c r="K325" s="23"/>
      <c r="L325" s="24"/>
    </row>
    <row r="326" ht="15.0" customHeight="1">
      <c r="K326" s="23"/>
      <c r="L326" s="24"/>
    </row>
    <row r="327" ht="15.0" customHeight="1">
      <c r="K327" s="23"/>
      <c r="L327" s="24"/>
    </row>
    <row r="328" ht="15.0" customHeight="1">
      <c r="K328" s="23"/>
      <c r="L328" s="24"/>
    </row>
    <row r="329" ht="15.0" customHeight="1">
      <c r="K329" s="23"/>
      <c r="L329" s="24"/>
    </row>
    <row r="330" ht="15.0" customHeight="1">
      <c r="K330" s="23"/>
      <c r="L330" s="24"/>
    </row>
    <row r="331" ht="15.0" customHeight="1">
      <c r="K331" s="23"/>
      <c r="L331" s="24"/>
    </row>
    <row r="332" ht="15.0" customHeight="1">
      <c r="K332" s="23"/>
      <c r="L332" s="24"/>
    </row>
    <row r="333" ht="15.0" customHeight="1">
      <c r="K333" s="23"/>
      <c r="L333" s="24"/>
    </row>
    <row r="334" ht="15.0" customHeight="1">
      <c r="K334" s="23"/>
      <c r="L334" s="24"/>
    </row>
    <row r="335" ht="15.0" customHeight="1">
      <c r="K335" s="23"/>
      <c r="L335" s="24"/>
    </row>
    <row r="336" ht="15.0" customHeight="1">
      <c r="K336" s="23"/>
      <c r="L336" s="24"/>
    </row>
    <row r="337" ht="15.0" customHeight="1">
      <c r="K337" s="23"/>
      <c r="L337" s="24"/>
    </row>
    <row r="338" ht="15.0" customHeight="1">
      <c r="K338" s="23"/>
      <c r="L338" s="24"/>
    </row>
    <row r="339" ht="15.0" customHeight="1">
      <c r="K339" s="23"/>
      <c r="L339" s="24"/>
    </row>
    <row r="340" ht="15.0" customHeight="1">
      <c r="K340" s="23"/>
      <c r="L340" s="24"/>
    </row>
    <row r="341" ht="15.0" customHeight="1">
      <c r="K341" s="23"/>
      <c r="L341" s="24"/>
    </row>
    <row r="342" ht="15.0" customHeight="1">
      <c r="K342" s="23"/>
      <c r="L342" s="24"/>
    </row>
    <row r="343" ht="15.0" customHeight="1">
      <c r="K343" s="23"/>
      <c r="L343" s="24"/>
    </row>
    <row r="344" ht="15.0" customHeight="1">
      <c r="K344" s="23"/>
      <c r="L344" s="24"/>
    </row>
    <row r="345" ht="15.0" customHeight="1">
      <c r="K345" s="23"/>
      <c r="L345" s="24"/>
    </row>
    <row r="346" ht="15.0" customHeight="1">
      <c r="K346" s="23"/>
      <c r="L346" s="24"/>
    </row>
    <row r="347" ht="15.0" customHeight="1">
      <c r="K347" s="23"/>
      <c r="L347" s="24"/>
    </row>
    <row r="348" ht="15.0" customHeight="1">
      <c r="K348" s="23"/>
      <c r="L348" s="24"/>
    </row>
    <row r="349" ht="15.0" customHeight="1">
      <c r="K349" s="24"/>
      <c r="L349" s="24"/>
    </row>
    <row r="350" ht="15.0" customHeight="1">
      <c r="K350" s="24"/>
      <c r="L350" s="24"/>
    </row>
    <row r="351" ht="15.0" customHeight="1">
      <c r="K351" s="24"/>
      <c r="L351" s="24"/>
    </row>
    <row r="352" ht="15.0" customHeight="1">
      <c r="K352" s="24"/>
      <c r="L352" s="24"/>
    </row>
    <row r="353" ht="15.0" customHeight="1">
      <c r="K353" s="24"/>
      <c r="L353" s="24"/>
    </row>
    <row r="354" ht="15.0" customHeight="1">
      <c r="K354" s="24"/>
      <c r="L354" s="24"/>
    </row>
    <row r="355" ht="15.0" customHeight="1">
      <c r="K355" s="24"/>
      <c r="L355" s="24"/>
    </row>
    <row r="356" ht="15.0" customHeight="1">
      <c r="K356" s="24"/>
      <c r="L356" s="24"/>
    </row>
    <row r="357" ht="15.0" customHeight="1">
      <c r="K357" s="24"/>
      <c r="L357" s="24"/>
    </row>
    <row r="358" ht="15.0" customHeight="1">
      <c r="K358" s="24"/>
      <c r="L358" s="24"/>
    </row>
    <row r="359" ht="15.0" customHeight="1">
      <c r="K359" s="24"/>
      <c r="L359" s="24"/>
    </row>
    <row r="360" ht="15.0" customHeight="1">
      <c r="K360" s="24"/>
      <c r="L360" s="24"/>
    </row>
    <row r="361" ht="15.0" customHeight="1">
      <c r="K361" s="24"/>
      <c r="L361" s="24"/>
    </row>
    <row r="362" ht="15.0" customHeight="1">
      <c r="K362" s="24"/>
      <c r="L362" s="24"/>
    </row>
    <row r="363" ht="15.0" customHeight="1">
      <c r="K363" s="24"/>
      <c r="L363" s="24"/>
    </row>
    <row r="364" ht="15.0" customHeight="1">
      <c r="K364" s="24"/>
      <c r="L364" s="24"/>
    </row>
    <row r="365" ht="15.0" customHeight="1">
      <c r="K365" s="24"/>
      <c r="L365" s="24"/>
    </row>
    <row r="366" ht="15.0" customHeight="1">
      <c r="K366" s="24"/>
      <c r="L366" s="24"/>
    </row>
    <row r="367" ht="15.0" customHeight="1">
      <c r="K367" s="24"/>
      <c r="L367" s="24"/>
    </row>
    <row r="368" ht="15.0" customHeight="1">
      <c r="K368" s="24"/>
      <c r="L368" s="24"/>
    </row>
    <row r="369" ht="15.0" customHeight="1">
      <c r="K369" s="24"/>
      <c r="L369" s="24"/>
    </row>
    <row r="370" ht="15.0" customHeight="1">
      <c r="K370" s="24"/>
      <c r="L370" s="24"/>
    </row>
    <row r="371" ht="15.0" customHeight="1">
      <c r="K371" s="24"/>
      <c r="L371" s="24"/>
    </row>
    <row r="372" ht="15.0" customHeight="1">
      <c r="K372" s="24"/>
      <c r="L372" s="24"/>
    </row>
    <row r="373" ht="15.0" customHeight="1">
      <c r="K373" s="24"/>
      <c r="L373" s="24"/>
    </row>
    <row r="374" ht="15.0" customHeight="1">
      <c r="K374" s="24"/>
      <c r="L374" s="24"/>
    </row>
    <row r="375" ht="15.0" customHeight="1">
      <c r="K375" s="24"/>
      <c r="L375" s="24"/>
    </row>
    <row r="376" ht="15.0" customHeight="1">
      <c r="K376" s="24"/>
      <c r="L376" s="24"/>
    </row>
    <row r="377" ht="15.0" customHeight="1">
      <c r="K377" s="24"/>
      <c r="L377" s="24"/>
    </row>
    <row r="378" ht="15.0" customHeight="1">
      <c r="K378" s="24"/>
      <c r="L378" s="24"/>
    </row>
    <row r="379" ht="15.0" customHeight="1">
      <c r="K379" s="24"/>
      <c r="L379" s="24"/>
    </row>
    <row r="380" ht="15.0" customHeight="1">
      <c r="K380" s="24"/>
      <c r="L380" s="24"/>
    </row>
    <row r="381" ht="15.0" customHeight="1">
      <c r="K381" s="24"/>
      <c r="L381" s="24"/>
    </row>
    <row r="382" ht="15.0" customHeight="1">
      <c r="K382" s="24"/>
      <c r="L382" s="24"/>
    </row>
    <row r="383" ht="15.0" customHeight="1">
      <c r="K383" s="24"/>
      <c r="L383" s="24"/>
    </row>
    <row r="384" ht="15.0" customHeight="1">
      <c r="K384" s="24"/>
      <c r="L384" s="24"/>
    </row>
    <row r="385" ht="15.0" customHeight="1">
      <c r="K385" s="24"/>
      <c r="L385" s="24"/>
    </row>
    <row r="386" ht="15.0" customHeight="1">
      <c r="K386" s="24"/>
      <c r="L386" s="24"/>
    </row>
    <row r="387" ht="15.0" customHeight="1">
      <c r="K387" s="24"/>
      <c r="L387" s="24"/>
    </row>
    <row r="388" ht="15.0" customHeight="1">
      <c r="K388" s="24"/>
      <c r="L388" s="24"/>
    </row>
    <row r="389" ht="15.0" customHeight="1">
      <c r="K389" s="24"/>
      <c r="L389" s="24"/>
    </row>
    <row r="390" ht="15.0" customHeight="1">
      <c r="K390" s="24"/>
      <c r="L390" s="24"/>
    </row>
    <row r="391" ht="15.0" customHeight="1">
      <c r="K391" s="24"/>
      <c r="L391" s="24"/>
    </row>
    <row r="392" ht="15.0" customHeight="1">
      <c r="K392" s="24"/>
      <c r="L392" s="24"/>
    </row>
    <row r="393" ht="15.0" customHeight="1">
      <c r="K393" s="24"/>
      <c r="L393" s="24"/>
    </row>
    <row r="394" ht="15.0" customHeight="1">
      <c r="K394" s="24"/>
      <c r="L394" s="24"/>
    </row>
    <row r="395" ht="15.0" customHeight="1">
      <c r="K395" s="24"/>
      <c r="L395" s="24"/>
    </row>
    <row r="396" ht="15.0" customHeight="1">
      <c r="K396" s="24"/>
      <c r="L396" s="24"/>
    </row>
    <row r="397" ht="15.0" customHeight="1">
      <c r="K397" s="24"/>
      <c r="L397" s="24"/>
    </row>
    <row r="398" ht="15.0" customHeight="1">
      <c r="K398" s="24"/>
      <c r="L398" s="24"/>
    </row>
    <row r="399" ht="15.0" customHeight="1">
      <c r="K399" s="24"/>
      <c r="L399" s="24"/>
    </row>
    <row r="400" ht="15.0" customHeight="1">
      <c r="K400" s="24"/>
      <c r="L400" s="24"/>
    </row>
    <row r="401" ht="15.0" customHeight="1">
      <c r="K401" s="24"/>
      <c r="L401" s="24"/>
    </row>
    <row r="402" ht="15.0" customHeight="1">
      <c r="K402" s="24"/>
      <c r="L402" s="24"/>
    </row>
    <row r="403" ht="15.0" customHeight="1">
      <c r="K403" s="24"/>
      <c r="L403" s="24"/>
    </row>
    <row r="404" ht="15.0" customHeight="1">
      <c r="K404" s="24"/>
      <c r="L404" s="24"/>
    </row>
    <row r="405" ht="15.0" customHeight="1">
      <c r="K405" s="24"/>
      <c r="L405" s="24"/>
    </row>
    <row r="406" ht="15.0" customHeight="1">
      <c r="K406" s="24"/>
      <c r="L406" s="24"/>
    </row>
    <row r="407" ht="15.0" customHeight="1">
      <c r="K407" s="24"/>
      <c r="L407" s="24"/>
    </row>
    <row r="408" ht="15.0" customHeight="1">
      <c r="K408" s="24"/>
      <c r="L408" s="24"/>
    </row>
    <row r="409" ht="15.0" customHeight="1">
      <c r="K409" s="24"/>
      <c r="L409" s="24"/>
    </row>
    <row r="410" ht="15.0" customHeight="1">
      <c r="K410" s="24"/>
      <c r="L410" s="24"/>
    </row>
    <row r="411" ht="15.0" customHeight="1">
      <c r="K411" s="24"/>
      <c r="L411" s="24"/>
    </row>
    <row r="412" ht="15.0" customHeight="1">
      <c r="K412" s="24"/>
      <c r="L412" s="24"/>
    </row>
    <row r="413" ht="15.0" customHeight="1">
      <c r="K413" s="24"/>
      <c r="L413" s="24"/>
    </row>
    <row r="414" ht="15.0" customHeight="1">
      <c r="K414" s="24"/>
      <c r="L414" s="24"/>
    </row>
    <row r="415" ht="15.0" customHeight="1">
      <c r="K415" s="24"/>
      <c r="L415" s="24"/>
    </row>
    <row r="416" ht="15.0" customHeight="1">
      <c r="K416" s="24"/>
      <c r="L416" s="24"/>
    </row>
    <row r="417" ht="15.0" customHeight="1">
      <c r="K417" s="24"/>
      <c r="L417" s="24"/>
    </row>
    <row r="418" ht="15.0" customHeight="1">
      <c r="K418" s="24"/>
      <c r="L418" s="24"/>
    </row>
    <row r="419" ht="15.0" customHeight="1">
      <c r="K419" s="24"/>
      <c r="L419" s="24"/>
    </row>
    <row r="420" ht="15.0" customHeight="1">
      <c r="K420" s="24"/>
      <c r="L420" s="24"/>
    </row>
    <row r="421" ht="15.0" customHeight="1">
      <c r="K421" s="24"/>
      <c r="L421" s="24"/>
    </row>
    <row r="422" ht="15.0" customHeight="1">
      <c r="K422" s="24"/>
      <c r="L422" s="24"/>
    </row>
    <row r="423" ht="15.0" customHeight="1">
      <c r="K423" s="24"/>
      <c r="L423" s="24"/>
    </row>
    <row r="424" ht="15.0" customHeight="1">
      <c r="K424" s="24"/>
      <c r="L424" s="24"/>
    </row>
    <row r="425" ht="15.0" customHeight="1">
      <c r="K425" s="24"/>
      <c r="L425" s="24"/>
    </row>
    <row r="426" ht="15.0" customHeight="1">
      <c r="K426" s="24"/>
      <c r="L426" s="24"/>
    </row>
    <row r="427" ht="15.0" customHeight="1">
      <c r="K427" s="24"/>
      <c r="L427" s="24"/>
    </row>
    <row r="428" ht="15.0" customHeight="1">
      <c r="K428" s="24"/>
      <c r="L428" s="24"/>
    </row>
    <row r="429" ht="15.0" customHeight="1">
      <c r="K429" s="24"/>
      <c r="L429" s="24"/>
    </row>
    <row r="430" ht="15.0" customHeight="1">
      <c r="K430" s="24"/>
      <c r="L430" s="24"/>
    </row>
    <row r="431" ht="15.0" customHeight="1">
      <c r="K431" s="24"/>
      <c r="L431" s="24"/>
    </row>
    <row r="432" ht="15.0" customHeight="1">
      <c r="K432" s="24"/>
      <c r="L432" s="24"/>
    </row>
    <row r="433" ht="15.0" customHeight="1">
      <c r="K433" s="24"/>
      <c r="L433" s="24"/>
    </row>
    <row r="434" ht="15.0" customHeight="1">
      <c r="K434" s="24"/>
      <c r="L434" s="24"/>
    </row>
    <row r="435" ht="15.0" customHeight="1">
      <c r="K435" s="24"/>
      <c r="L435" s="24"/>
    </row>
    <row r="436" ht="15.0" customHeight="1">
      <c r="K436" s="24"/>
      <c r="L436" s="24"/>
    </row>
    <row r="437" ht="15.0" customHeight="1">
      <c r="K437" s="24"/>
      <c r="L437" s="24"/>
    </row>
    <row r="438" ht="15.0" customHeight="1">
      <c r="K438" s="24"/>
      <c r="L438" s="24"/>
    </row>
    <row r="439" ht="15.0" customHeight="1">
      <c r="K439" s="24"/>
      <c r="L439" s="24"/>
    </row>
    <row r="440" ht="15.0" customHeight="1">
      <c r="K440" s="24"/>
      <c r="L440" s="24"/>
    </row>
    <row r="441" ht="15.0" customHeight="1">
      <c r="K441" s="24"/>
      <c r="L441" s="24"/>
    </row>
    <row r="442" ht="15.0" customHeight="1">
      <c r="K442" s="24"/>
      <c r="L442" s="24"/>
    </row>
    <row r="443" ht="15.0" customHeight="1">
      <c r="K443" s="24"/>
      <c r="L443" s="24"/>
    </row>
    <row r="444" ht="15.0" customHeight="1">
      <c r="K444" s="24"/>
      <c r="L444" s="24"/>
    </row>
    <row r="445" ht="15.0" customHeight="1">
      <c r="K445" s="24"/>
      <c r="L445" s="24"/>
    </row>
    <row r="446" ht="15.0" customHeight="1">
      <c r="K446" s="24"/>
      <c r="L446" s="24"/>
    </row>
    <row r="447" ht="15.0" customHeight="1">
      <c r="K447" s="24"/>
      <c r="L447" s="24"/>
    </row>
    <row r="448" ht="15.0" customHeight="1">
      <c r="K448" s="24"/>
      <c r="L448" s="24"/>
    </row>
    <row r="449" ht="15.0" customHeight="1">
      <c r="K449" s="24"/>
      <c r="L449" s="24"/>
    </row>
    <row r="450" ht="15.0" customHeight="1">
      <c r="K450" s="24"/>
      <c r="L450" s="24"/>
    </row>
    <row r="451" ht="15.0" customHeight="1">
      <c r="K451" s="24"/>
      <c r="L451" s="24"/>
    </row>
    <row r="452" ht="15.0" customHeight="1">
      <c r="K452" s="24"/>
      <c r="L452" s="24"/>
    </row>
    <row r="453" ht="15.0" customHeight="1">
      <c r="K453" s="24"/>
      <c r="L453" s="24"/>
    </row>
    <row r="454" ht="15.0" customHeight="1">
      <c r="K454" s="24"/>
      <c r="L454" s="24"/>
    </row>
    <row r="455" ht="15.0" customHeight="1">
      <c r="K455" s="24"/>
      <c r="L455" s="24"/>
    </row>
    <row r="456" ht="15.0" customHeight="1">
      <c r="K456" s="24"/>
      <c r="L456" s="24"/>
    </row>
    <row r="457" ht="15.0" customHeight="1">
      <c r="K457" s="24"/>
      <c r="L457" s="24"/>
    </row>
    <row r="458" ht="15.0" customHeight="1">
      <c r="K458" s="24"/>
      <c r="L458" s="24"/>
    </row>
    <row r="459" ht="15.0" customHeight="1">
      <c r="K459" s="24"/>
      <c r="L459" s="24"/>
    </row>
    <row r="460" ht="15.0" customHeight="1">
      <c r="K460" s="24"/>
      <c r="L460" s="24"/>
    </row>
    <row r="461" ht="15.0" customHeight="1">
      <c r="K461" s="24"/>
      <c r="L461" s="24"/>
    </row>
    <row r="462" ht="15.0" customHeight="1">
      <c r="K462" s="24"/>
      <c r="L462" s="24"/>
    </row>
    <row r="463" ht="15.0" customHeight="1">
      <c r="K463" s="24"/>
      <c r="L463" s="24"/>
    </row>
    <row r="464" ht="15.0" customHeight="1">
      <c r="K464" s="24"/>
      <c r="L464" s="24"/>
    </row>
    <row r="465" ht="15.0" customHeight="1">
      <c r="K465" s="24"/>
      <c r="L465" s="24"/>
    </row>
    <row r="466" ht="15.0" customHeight="1">
      <c r="K466" s="24"/>
      <c r="L466" s="24"/>
    </row>
    <row r="467" ht="15.0" customHeight="1">
      <c r="K467" s="24"/>
      <c r="L467" s="24"/>
    </row>
    <row r="468" ht="15.0" customHeight="1">
      <c r="K468" s="24"/>
      <c r="L468" s="24"/>
    </row>
    <row r="469" ht="15.0" customHeight="1">
      <c r="K469" s="24"/>
      <c r="L469" s="24"/>
    </row>
    <row r="470" ht="15.0" customHeight="1">
      <c r="K470" s="24"/>
      <c r="L470" s="24"/>
    </row>
    <row r="471" ht="15.0" customHeight="1">
      <c r="K471" s="24"/>
      <c r="L471" s="24"/>
    </row>
    <row r="472" ht="15.0" customHeight="1">
      <c r="K472" s="24"/>
      <c r="L472" s="24"/>
    </row>
    <row r="473" ht="15.0" customHeight="1">
      <c r="K473" s="24"/>
      <c r="L473" s="24"/>
    </row>
    <row r="474" ht="15.0" customHeight="1">
      <c r="K474" s="24"/>
      <c r="L474" s="24"/>
    </row>
    <row r="475" ht="15.0" customHeight="1">
      <c r="K475" s="24"/>
      <c r="L475" s="24"/>
    </row>
    <row r="476" ht="15.0" customHeight="1">
      <c r="K476" s="24"/>
      <c r="L476" s="24"/>
    </row>
    <row r="477" ht="15.0" customHeight="1">
      <c r="K477" s="24"/>
      <c r="L477" s="24"/>
    </row>
    <row r="478" ht="15.0" customHeight="1">
      <c r="K478" s="24"/>
      <c r="L478" s="24"/>
    </row>
    <row r="479" ht="15.0" customHeight="1">
      <c r="K479" s="24"/>
      <c r="L479" s="24"/>
    </row>
    <row r="480" ht="15.0" customHeight="1">
      <c r="K480" s="24"/>
      <c r="L480" s="24"/>
    </row>
    <row r="481" ht="15.0" customHeight="1">
      <c r="K481" s="24"/>
      <c r="L481" s="24"/>
    </row>
    <row r="482" ht="15.0" customHeight="1">
      <c r="K482" s="24"/>
      <c r="L482" s="24"/>
    </row>
    <row r="483" ht="15.0" customHeight="1">
      <c r="K483" s="24"/>
      <c r="L483" s="24"/>
    </row>
    <row r="484" ht="15.0" customHeight="1">
      <c r="K484" s="24"/>
      <c r="L484" s="24"/>
    </row>
    <row r="485" ht="15.0" customHeight="1">
      <c r="K485" s="24"/>
      <c r="L485" s="24"/>
    </row>
    <row r="486" ht="15.0" customHeight="1">
      <c r="K486" s="24"/>
      <c r="L486" s="24"/>
    </row>
    <row r="487" ht="15.0" customHeight="1">
      <c r="K487" s="24"/>
      <c r="L487" s="24"/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41">
    <mergeCell ref="L8:L14"/>
    <mergeCell ref="L15:L21"/>
    <mergeCell ref="L22:L28"/>
    <mergeCell ref="L29:L35"/>
    <mergeCell ref="L36:L42"/>
    <mergeCell ref="L43:L49"/>
    <mergeCell ref="L50:L56"/>
    <mergeCell ref="L57:L63"/>
    <mergeCell ref="L64:L70"/>
    <mergeCell ref="L71:L77"/>
    <mergeCell ref="L78:L84"/>
    <mergeCell ref="L85:L91"/>
    <mergeCell ref="L92:L98"/>
    <mergeCell ref="L99:L105"/>
    <mergeCell ref="L106:L112"/>
    <mergeCell ref="L113:L119"/>
    <mergeCell ref="L120:L126"/>
    <mergeCell ref="L127:L133"/>
    <mergeCell ref="L134:L140"/>
    <mergeCell ref="L141:L147"/>
    <mergeCell ref="L148:L154"/>
    <mergeCell ref="L155:L161"/>
    <mergeCell ref="L162:L168"/>
    <mergeCell ref="L169:L175"/>
    <mergeCell ref="L176:L182"/>
    <mergeCell ref="L183:L189"/>
    <mergeCell ref="L190:L196"/>
    <mergeCell ref="L197:L203"/>
    <mergeCell ref="L253:L259"/>
    <mergeCell ref="L260:L266"/>
    <mergeCell ref="L267:L273"/>
    <mergeCell ref="L274:L280"/>
    <mergeCell ref="L281:L287"/>
    <mergeCell ref="L288:L294"/>
    <mergeCell ref="L204:L210"/>
    <mergeCell ref="L211:L217"/>
    <mergeCell ref="L218:L224"/>
    <mergeCell ref="L225:L231"/>
    <mergeCell ref="L232:L238"/>
    <mergeCell ref="L239:L245"/>
    <mergeCell ref="L246:L25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4.14"/>
    <col customWidth="1" min="3" max="3" width="30.0"/>
    <col customWidth="1" min="4" max="4" width="14.71"/>
    <col customWidth="1" min="5" max="5" width="11.57"/>
    <col customWidth="1" min="6" max="6" width="10.14"/>
    <col customWidth="1" min="7" max="8" width="9.14"/>
    <col customWidth="1" min="9" max="9" width="10.43"/>
    <col customWidth="1" min="10" max="10" width="10.86"/>
    <col customWidth="1" min="11" max="11" width="9.14"/>
    <col customWidth="1" min="12" max="12" width="12.71"/>
    <col customWidth="1" min="13" max="26" width="8.0"/>
  </cols>
  <sheetData>
    <row r="1">
      <c r="A1" s="33" t="s">
        <v>1457</v>
      </c>
      <c r="B1" s="34">
        <f>VLOOKUP(E1,'Oret pushim '!K8:L294,2,FALSE)</f>
        <v>8</v>
      </c>
      <c r="C1" s="35" t="s">
        <v>1458</v>
      </c>
      <c r="D1" s="35"/>
      <c r="E1" s="36">
        <v>45957.0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26.25" customHeight="1">
      <c r="A2" s="38" t="s">
        <v>1459</v>
      </c>
      <c r="B2" s="39"/>
      <c r="C2" s="39"/>
      <c r="D2" s="39"/>
      <c r="E2" s="40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30.0" customHeight="1">
      <c r="A3" s="41" t="s">
        <v>1423</v>
      </c>
      <c r="B3" s="42"/>
      <c r="C3" s="43" t="s">
        <v>1460</v>
      </c>
      <c r="D3" s="43"/>
      <c r="E3" s="44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30.0" customHeight="1">
      <c r="A4" s="45" t="s">
        <v>1461</v>
      </c>
      <c r="B4" s="46">
        <f>(B1-1)*3+1-'Oret pushim '!E8</f>
        <v>22</v>
      </c>
      <c r="C4" s="47" t="str">
        <f>VLOOKUP(B4,'C++ viti III'!A2:C110,2,FALSE)</f>
        <v>Lenda1 Tema22</v>
      </c>
      <c r="D4" s="47"/>
      <c r="E4" s="48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30.0" customHeight="1">
      <c r="A5" s="45"/>
      <c r="B5" s="46"/>
      <c r="C5" s="49" t="s">
        <v>1462</v>
      </c>
      <c r="D5" s="49"/>
      <c r="E5" s="50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30.0" customHeight="1">
      <c r="A6" s="41" t="s">
        <v>1423</v>
      </c>
      <c r="B6" s="42"/>
      <c r="C6" s="43" t="s">
        <v>1463</v>
      </c>
      <c r="D6" s="51"/>
      <c r="E6" s="52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30.0" customHeight="1">
      <c r="A7" s="53" t="s">
        <v>1461</v>
      </c>
      <c r="B7" s="54">
        <f>(B1-1)*3+1-'Oret pushim '!I8</f>
        <v>22</v>
      </c>
      <c r="C7" s="55" t="str">
        <f>VLOOKUP(B7,'JAVA viti IV'!A3:D126,2,FALSE)</f>
        <v>Lenda 2 tema 22</v>
      </c>
      <c r="D7" s="56"/>
      <c r="E7" s="5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30.0" customHeight="1">
      <c r="A8" s="53"/>
      <c r="B8" s="54"/>
      <c r="C8" s="49" t="s">
        <v>1462</v>
      </c>
      <c r="D8" s="49"/>
      <c r="E8" s="58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30.0" customHeight="1">
      <c r="A9" s="41" t="s">
        <v>1423</v>
      </c>
      <c r="B9" s="42"/>
      <c r="C9" s="43" t="s">
        <v>1464</v>
      </c>
      <c r="D9" s="51"/>
      <c r="E9" s="52"/>
      <c r="F9" s="37"/>
      <c r="G9" s="37"/>
      <c r="H9" s="37"/>
      <c r="I9" s="37"/>
      <c r="J9" s="37"/>
      <c r="K9" s="37"/>
      <c r="L9" s="59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30.0" customHeight="1">
      <c r="A10" s="60" t="s">
        <v>1461</v>
      </c>
      <c r="B10" s="61">
        <f>(B1-1)*3+1-'Oret pushim '!C8</f>
        <v>22</v>
      </c>
      <c r="C10" s="55" t="str">
        <f>VLOOKUP(B10,'C++ viti III'!A2:C110,2,FALSE)</f>
        <v>Lenda1 Tema22</v>
      </c>
      <c r="D10" s="55"/>
      <c r="E10" s="62"/>
      <c r="F10" s="63"/>
      <c r="G10" s="63"/>
      <c r="H10" s="63"/>
      <c r="I10" s="63"/>
      <c r="J10" s="63"/>
      <c r="K10" s="63"/>
      <c r="L10" s="64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30.0" customHeight="1">
      <c r="A11" s="53"/>
      <c r="B11" s="54"/>
      <c r="C11" s="49" t="s">
        <v>1462</v>
      </c>
      <c r="D11" s="49"/>
      <c r="E11" s="50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30.0" customHeight="1">
      <c r="A12" s="65"/>
      <c r="B12" s="65"/>
      <c r="C12" s="66"/>
      <c r="D12" s="66"/>
      <c r="E12" s="65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30.0" customHeight="1">
      <c r="A13" s="67"/>
      <c r="B13" s="68"/>
      <c r="C13" s="68" t="s">
        <v>1439</v>
      </c>
      <c r="D13" s="68"/>
      <c r="E13" s="36">
        <f>E1+1</f>
        <v>45958</v>
      </c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30.0" customHeight="1">
      <c r="A14" s="38" t="s">
        <v>1465</v>
      </c>
      <c r="B14" s="39"/>
      <c r="C14" s="39"/>
      <c r="D14" s="39"/>
      <c r="E14" s="40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30.0" customHeight="1">
      <c r="A15" s="41" t="s">
        <v>1423</v>
      </c>
      <c r="B15" s="42"/>
      <c r="C15" s="43" t="s">
        <v>1466</v>
      </c>
      <c r="D15" s="51"/>
      <c r="E15" s="52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30.0" customHeight="1">
      <c r="A16" s="45" t="s">
        <v>1461</v>
      </c>
      <c r="B16" s="46">
        <f>(B1-1)*3+1-'Oret pushim '!D8</f>
        <v>22</v>
      </c>
      <c r="C16" s="47" t="str">
        <f>VLOOKUP(B16,'C++ viti III'!A3:C110,2,FALSE)</f>
        <v>Lenda1 Tema22</v>
      </c>
      <c r="D16" s="47"/>
      <c r="E16" s="48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30.0" customHeight="1">
      <c r="A17" s="45"/>
      <c r="B17" s="46"/>
      <c r="C17" s="49" t="s">
        <v>1467</v>
      </c>
      <c r="D17" s="49" t="s">
        <v>1468</v>
      </c>
      <c r="E17" s="50">
        <f>$E$1</f>
        <v>45957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30.0" customHeight="1">
      <c r="A18" s="53" t="s">
        <v>1461</v>
      </c>
      <c r="B18" s="54">
        <f>B16+1</f>
        <v>23</v>
      </c>
      <c r="C18" s="55" t="str">
        <f>VLOOKUP(B18,'C++ viti III'!A3:C110,2,FALSE)</f>
        <v>Lenda1 Tema23</v>
      </c>
      <c r="D18" s="55"/>
      <c r="E18" s="5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30.0" customHeight="1">
      <c r="A19" s="69"/>
      <c r="B19" s="70"/>
      <c r="C19" s="49" t="s">
        <v>1462</v>
      </c>
      <c r="D19" s="49"/>
      <c r="E19" s="50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30.0" customHeight="1">
      <c r="A20" s="41" t="s">
        <v>1423</v>
      </c>
      <c r="B20" s="42"/>
      <c r="C20" s="43" t="s">
        <v>1469</v>
      </c>
      <c r="D20" s="51"/>
      <c r="E20" s="52"/>
      <c r="F20" s="37"/>
      <c r="G20" s="37"/>
      <c r="H20" s="37"/>
      <c r="I20" s="37"/>
      <c r="J20" s="37"/>
      <c r="K20" s="37"/>
      <c r="L20" s="59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30.0" customHeight="1">
      <c r="A21" s="53" t="s">
        <v>1461</v>
      </c>
      <c r="B21" s="54">
        <f>(B1-1)*3+1-'Oret pushim '!F8</f>
        <v>22</v>
      </c>
      <c r="C21" s="71" t="str">
        <f>VLOOKUP(B21,'C++ viti III'!A2:C110,2,FALSE)</f>
        <v>Lenda1 Tema22</v>
      </c>
      <c r="D21" s="71"/>
      <c r="E21" s="62"/>
      <c r="F21" s="37"/>
      <c r="G21" s="37"/>
      <c r="H21" s="37"/>
      <c r="I21" s="37"/>
      <c r="J21" s="37"/>
      <c r="K21" s="37"/>
      <c r="L21" s="59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30.0" customHeight="1">
      <c r="A22" s="45"/>
      <c r="B22" s="46"/>
      <c r="C22" s="49" t="s">
        <v>1467</v>
      </c>
      <c r="D22" s="49" t="s">
        <v>1468</v>
      </c>
      <c r="E22" s="50">
        <f>$E$1</f>
        <v>45957</v>
      </c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30.0" customHeight="1">
      <c r="A23" s="53" t="s">
        <v>1461</v>
      </c>
      <c r="B23" s="54">
        <f>B21+1</f>
        <v>23</v>
      </c>
      <c r="C23" s="55" t="str">
        <f>VLOOKUP(B23,'C++ viti III'!A2:C110,2,FALSE)</f>
        <v>Lenda1 Tema23</v>
      </c>
      <c r="D23" s="55"/>
      <c r="E23" s="5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30.0" customHeight="1">
      <c r="A24" s="45"/>
      <c r="B24" s="46"/>
      <c r="C24" s="49" t="s">
        <v>1462</v>
      </c>
      <c r="D24" s="49"/>
      <c r="E24" s="50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30.0" customHeight="1">
      <c r="A25" s="66"/>
      <c r="B25" s="72"/>
      <c r="C25" s="66"/>
      <c r="D25" s="66"/>
      <c r="E25" s="66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30.0" customHeight="1">
      <c r="A26" s="35"/>
      <c r="B26" s="35"/>
      <c r="C26" s="35" t="s">
        <v>1440</v>
      </c>
      <c r="D26" s="35"/>
      <c r="E26" s="73">
        <f>E1+2</f>
        <v>45959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30.0" customHeight="1">
      <c r="A27" s="38" t="s">
        <v>1470</v>
      </c>
      <c r="B27" s="39"/>
      <c r="C27" s="39"/>
      <c r="D27" s="39"/>
      <c r="E27" s="40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30.0" customHeight="1">
      <c r="A28" s="41" t="s">
        <v>1423</v>
      </c>
      <c r="B28" s="42"/>
      <c r="C28" s="43" t="s">
        <v>1471</v>
      </c>
      <c r="D28" s="51"/>
      <c r="E28" s="52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30.0" customHeight="1">
      <c r="A29" s="53" t="s">
        <v>1461</v>
      </c>
      <c r="B29" s="54">
        <f>(B1-1)*3+1-'Oret pushim '!B8</f>
        <v>22</v>
      </c>
      <c r="C29" s="71" t="str">
        <f>VLOOKUP(B29,'C++ viti III'!A2:C110,2,FALSE)</f>
        <v>Lenda1 Tema22</v>
      </c>
      <c r="D29" s="74"/>
      <c r="E29" s="75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30.0" customHeight="1">
      <c r="A30" s="45"/>
      <c r="B30" s="46"/>
      <c r="C30" s="49" t="s">
        <v>1467</v>
      </c>
      <c r="D30" s="49" t="str">
        <f>$D$22</f>
        <v>III6 dt:</v>
      </c>
      <c r="E30" s="50">
        <f>$E$22</f>
        <v>45957</v>
      </c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30.0" customHeight="1">
      <c r="A31" s="41" t="s">
        <v>1423</v>
      </c>
      <c r="B31" s="42"/>
      <c r="C31" s="43" t="s">
        <v>1472</v>
      </c>
      <c r="D31" s="51"/>
      <c r="E31" s="52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30.0" customHeight="1">
      <c r="A32" s="53" t="s">
        <v>1461</v>
      </c>
      <c r="B32" s="54">
        <f>B7+1</f>
        <v>23</v>
      </c>
      <c r="C32" s="55" t="str">
        <f>VLOOKUP(B32,'JAVA viti IV'!A3:D126,2,FALSE)</f>
        <v>Lenda 2 tema 23</v>
      </c>
      <c r="D32" s="56"/>
      <c r="E32" s="5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30.0" customHeight="1">
      <c r="A33" s="76"/>
      <c r="B33" s="77"/>
      <c r="C33" s="49" t="s">
        <v>1462</v>
      </c>
      <c r="D33" s="49"/>
      <c r="E33" s="78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30.0" customHeight="1">
      <c r="A34" s="79" t="s">
        <v>1461</v>
      </c>
      <c r="B34" s="72">
        <f>B32+1</f>
        <v>24</v>
      </c>
      <c r="C34" s="80" t="str">
        <f>VLOOKUP(B34,'JAVA viti IV'!A3:D126,2,FALSE)</f>
        <v>Lenda 2 tema 24</v>
      </c>
      <c r="D34" s="81"/>
      <c r="E34" s="82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30.0" customHeight="1">
      <c r="A35" s="76"/>
      <c r="B35" s="77"/>
      <c r="C35" s="49" t="s">
        <v>1462</v>
      </c>
      <c r="D35" s="49"/>
      <c r="E35" s="83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30.0" customHeight="1">
      <c r="A36" s="41" t="s">
        <v>1423</v>
      </c>
      <c r="B36" s="42"/>
      <c r="C36" s="43" t="s">
        <v>1473</v>
      </c>
      <c r="D36" s="43"/>
      <c r="E36" s="44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30.0" customHeight="1">
      <c r="A37" s="53" t="s">
        <v>1461</v>
      </c>
      <c r="B37" s="54">
        <f>(B1-1)*3+1-'Oret pushim '!G8</f>
        <v>22</v>
      </c>
      <c r="C37" s="55" t="str">
        <f>VLOOKUP(B37,'C++ viti III'!A2:C110,2,FALSE)</f>
        <v>Lenda1 Tema22</v>
      </c>
      <c r="D37" s="55"/>
      <c r="E37" s="5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30.0" customHeight="1">
      <c r="A38" s="53"/>
      <c r="B38" s="46"/>
      <c r="C38" s="49" t="s">
        <v>1467</v>
      </c>
      <c r="D38" s="49" t="str">
        <f>$D$22</f>
        <v>III6 dt:</v>
      </c>
      <c r="E38" s="50">
        <f>$E$22</f>
        <v>45957</v>
      </c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30.0" customHeight="1">
      <c r="A39" s="79" t="s">
        <v>1461</v>
      </c>
      <c r="B39" s="72">
        <f>B37+1</f>
        <v>23</v>
      </c>
      <c r="C39" s="80" t="str">
        <f>VLOOKUP(B39,'C++ viti III'!A2:C110,2,FALSE)</f>
        <v>Lenda1 Tema23</v>
      </c>
      <c r="D39" s="80"/>
      <c r="E39" s="82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30.0" customHeight="1">
      <c r="A40" s="45"/>
      <c r="B40" s="46"/>
      <c r="C40" s="49" t="s">
        <v>1467</v>
      </c>
      <c r="D40" s="49" t="s">
        <v>1474</v>
      </c>
      <c r="E40" s="50">
        <f>$E$13</f>
        <v>45958</v>
      </c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30.0" customHeight="1">
      <c r="A41" s="38" t="s">
        <v>1475</v>
      </c>
      <c r="B41" s="39"/>
      <c r="C41" s="39"/>
      <c r="D41" s="39"/>
      <c r="E41" s="40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30.0" customHeight="1">
      <c r="A42" s="77"/>
      <c r="B42" s="77"/>
      <c r="C42" s="84"/>
      <c r="D42" s="84"/>
      <c r="E42" s="7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30.0" customHeight="1">
      <c r="A43" s="35"/>
      <c r="B43" s="35"/>
      <c r="C43" s="35" t="s">
        <v>1441</v>
      </c>
      <c r="D43" s="35"/>
      <c r="E43" s="73">
        <f>E1+3</f>
        <v>45960</v>
      </c>
      <c r="F43" s="37"/>
      <c r="G43" s="37"/>
      <c r="H43" s="37"/>
      <c r="I43" s="37"/>
      <c r="J43" s="37"/>
      <c r="K43" s="37"/>
      <c r="L43" s="59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30.0" customHeight="1">
      <c r="A44" s="38" t="s">
        <v>1470</v>
      </c>
      <c r="B44" s="39"/>
      <c r="C44" s="39"/>
      <c r="D44" s="39"/>
      <c r="E44" s="40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30.0" customHeight="1">
      <c r="A45" s="41" t="s">
        <v>1423</v>
      </c>
      <c r="B45" s="42"/>
      <c r="C45" s="43" t="s">
        <v>1476</v>
      </c>
      <c r="D45" s="51"/>
      <c r="E45" s="52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30.0" customHeight="1">
      <c r="A46" s="79" t="s">
        <v>1461</v>
      </c>
      <c r="B46" s="72">
        <f>B23+1</f>
        <v>24</v>
      </c>
      <c r="C46" s="80" t="str">
        <f>VLOOKUP(B46,'C++ viti III'!A2:C110,2,FALSE)</f>
        <v>Lenda1 Tema24</v>
      </c>
      <c r="D46" s="80"/>
      <c r="E46" s="82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30.0" customHeight="1">
      <c r="A47" s="45"/>
      <c r="B47" s="46"/>
      <c r="C47" s="49" t="s">
        <v>1462</v>
      </c>
      <c r="D47" s="49"/>
      <c r="E47" s="50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30.0" customHeight="1">
      <c r="A48" s="41" t="s">
        <v>1423</v>
      </c>
      <c r="B48" s="42"/>
      <c r="C48" s="43" t="s">
        <v>1477</v>
      </c>
      <c r="D48" s="51"/>
      <c r="E48" s="52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32.25" customHeight="1">
      <c r="A49" s="79" t="s">
        <v>1461</v>
      </c>
      <c r="B49" s="72">
        <f>B29+1</f>
        <v>23</v>
      </c>
      <c r="C49" s="80" t="str">
        <f>VLOOKUP(B49,'C++ viti III'!A2:C110,2,FALSE)</f>
        <v>Lenda1 Tema23</v>
      </c>
      <c r="D49" s="80"/>
      <c r="E49" s="85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30.0" customHeight="1">
      <c r="A50" s="45"/>
      <c r="B50" s="46"/>
      <c r="C50" s="49" t="s">
        <v>1467</v>
      </c>
      <c r="D50" s="49" t="s">
        <v>1474</v>
      </c>
      <c r="E50" s="50">
        <f>$E$13</f>
        <v>45958</v>
      </c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30.0" customHeight="1">
      <c r="A51" s="53" t="s">
        <v>1461</v>
      </c>
      <c r="B51" s="54">
        <f>B49+1</f>
        <v>24</v>
      </c>
      <c r="C51" s="55" t="str">
        <f>VLOOKUP(B51,'C++ viti III'!A2:C110,2,FALSE)</f>
        <v>Lenda1 Tema24</v>
      </c>
      <c r="D51" s="55"/>
      <c r="E51" s="5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30.0" customHeight="1">
      <c r="A52" s="45"/>
      <c r="B52" s="46"/>
      <c r="C52" s="49" t="s">
        <v>1462</v>
      </c>
      <c r="D52" s="49"/>
      <c r="E52" s="50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30.0" customHeight="1">
      <c r="A53" s="41" t="s">
        <v>1423</v>
      </c>
      <c r="B53" s="42"/>
      <c r="C53" s="43" t="s">
        <v>1478</v>
      </c>
      <c r="D53" s="51"/>
      <c r="E53" s="52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30.0" customHeight="1">
      <c r="A54" s="79" t="s">
        <v>1461</v>
      </c>
      <c r="B54" s="72">
        <f>B10+1</f>
        <v>23</v>
      </c>
      <c r="C54" s="80" t="str">
        <f>VLOOKUP(B54,'C++ viti III'!A2:C110,2,FALSE)</f>
        <v>Lenda1 Tema23</v>
      </c>
      <c r="D54" s="80"/>
      <c r="E54" s="82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30.0" customHeight="1">
      <c r="A55" s="45"/>
      <c r="B55" s="46"/>
      <c r="C55" s="49" t="s">
        <v>1467</v>
      </c>
      <c r="D55" s="49" t="s">
        <v>1474</v>
      </c>
      <c r="E55" s="50">
        <f>$E$13</f>
        <v>45958</v>
      </c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30.0" customHeight="1">
      <c r="A56" s="53" t="s">
        <v>1461</v>
      </c>
      <c r="B56" s="54">
        <f>B54+1</f>
        <v>24</v>
      </c>
      <c r="C56" s="55" t="str">
        <f>VLOOKUP(B56,'C++ viti III'!A2:C110,2,FALSE)</f>
        <v>Lenda1 Tema24</v>
      </c>
      <c r="D56" s="55"/>
      <c r="E56" s="5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30.0" customHeight="1">
      <c r="A57" s="53"/>
      <c r="B57" s="54"/>
      <c r="C57" s="49" t="s">
        <v>1462</v>
      </c>
      <c r="D57" s="49" t="str">
        <f>$C$45</f>
        <v>III7 ora 2</v>
      </c>
      <c r="E57" s="50"/>
    </row>
    <row r="58" ht="30.0" customHeight="1">
      <c r="A58" s="38" t="s">
        <v>1475</v>
      </c>
      <c r="B58" s="39"/>
      <c r="C58" s="39"/>
      <c r="D58" s="39"/>
      <c r="E58" s="40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30.0" customHeight="1">
      <c r="A59" s="84"/>
      <c r="B59" s="46"/>
      <c r="C59" s="84"/>
      <c r="D59" s="84"/>
      <c r="E59" s="84"/>
    </row>
    <row r="60" ht="30.0" customHeight="1">
      <c r="A60" s="35"/>
      <c r="B60" s="35"/>
      <c r="C60" s="35"/>
      <c r="D60" s="35"/>
      <c r="E60" s="73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30.0" customHeight="1">
      <c r="A61" s="35"/>
      <c r="B61" s="35"/>
      <c r="C61" s="35" t="s">
        <v>1442</v>
      </c>
      <c r="D61" s="35"/>
      <c r="E61" s="73">
        <f>E1+4</f>
        <v>45961</v>
      </c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30.0" customHeight="1">
      <c r="A62" s="38" t="s">
        <v>1479</v>
      </c>
      <c r="B62" s="39"/>
      <c r="C62" s="39"/>
      <c r="D62" s="39"/>
      <c r="E62" s="40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30.0" customHeight="1">
      <c r="A63" s="41" t="s">
        <v>1423</v>
      </c>
      <c r="B63" s="42"/>
      <c r="C63" s="43" t="s">
        <v>1480</v>
      </c>
      <c r="D63" s="51"/>
      <c r="E63" s="52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30.0" customHeight="1">
      <c r="A64" s="53" t="s">
        <v>1461</v>
      </c>
      <c r="B64" s="54">
        <f>B4+1</f>
        <v>23</v>
      </c>
      <c r="C64" s="55" t="str">
        <f>VLOOKUP(B64,'C++ viti III'!A3:C110,2,FALSE)</f>
        <v>Lenda1 Tema23</v>
      </c>
      <c r="D64" s="55"/>
      <c r="E64" s="5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30.0" customHeight="1">
      <c r="A65" s="45"/>
      <c r="B65" s="46"/>
      <c r="C65" s="49" t="s">
        <v>1467</v>
      </c>
      <c r="D65" s="49" t="s">
        <v>1474</v>
      </c>
      <c r="E65" s="50">
        <f>$E$13</f>
        <v>45958</v>
      </c>
      <c r="F65" s="37"/>
      <c r="G65" s="37"/>
      <c r="H65" s="37"/>
      <c r="I65" s="37"/>
      <c r="J65" s="37"/>
      <c r="K65" s="37"/>
      <c r="L65" s="59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30.0" customHeight="1">
      <c r="A66" s="53" t="s">
        <v>1461</v>
      </c>
      <c r="B66" s="54">
        <f>B64+1</f>
        <v>24</v>
      </c>
      <c r="C66" s="55" t="str">
        <f>VLOOKUP(B66,'C++ viti III'!A3:C110,2,FALSE)</f>
        <v>Lenda1 Tema24</v>
      </c>
      <c r="D66" s="55"/>
      <c r="E66" s="5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30.0" customHeight="1">
      <c r="A67" s="45"/>
      <c r="B67" s="46"/>
      <c r="C67" s="49" t="s">
        <v>1467</v>
      </c>
      <c r="D67" s="49" t="s">
        <v>1481</v>
      </c>
      <c r="E67" s="50">
        <f>$E$43</f>
        <v>45960</v>
      </c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30.0" customHeight="1">
      <c r="A68" s="41" t="s">
        <v>1423</v>
      </c>
      <c r="B68" s="42"/>
      <c r="C68" s="43" t="s">
        <v>1482</v>
      </c>
      <c r="D68" s="51"/>
      <c r="E68" s="52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30.0" customHeight="1">
      <c r="A69" s="79" t="s">
        <v>1461</v>
      </c>
      <c r="B69" s="72">
        <f>B18+1</f>
        <v>24</v>
      </c>
      <c r="C69" s="80" t="str">
        <f>VLOOKUP(B69,'C++ viti III'!A2:C110,2,FALSE)</f>
        <v>Lenda1 Tema24</v>
      </c>
      <c r="D69" s="80"/>
      <c r="E69" s="82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30.0" customHeight="1">
      <c r="A70" s="86"/>
      <c r="B70" s="87"/>
      <c r="C70" s="49" t="s">
        <v>1467</v>
      </c>
      <c r="D70" s="49" t="str">
        <f>D67</f>
        <v>III7 dt:</v>
      </c>
      <c r="E70" s="50">
        <f>$E$43</f>
        <v>45960</v>
      </c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30.0" customHeight="1">
      <c r="A71" s="41" t="s">
        <v>1423</v>
      </c>
      <c r="B71" s="42"/>
      <c r="C71" s="43" t="s">
        <v>1483</v>
      </c>
      <c r="D71" s="51"/>
      <c r="E71" s="52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30.0" customHeight="1">
      <c r="A72" s="53" t="s">
        <v>1461</v>
      </c>
      <c r="B72" s="54">
        <f>B39+1</f>
        <v>24</v>
      </c>
      <c r="C72" s="49" t="s">
        <v>1467</v>
      </c>
      <c r="D72" s="49" t="str">
        <f>D67</f>
        <v>III7 dt:</v>
      </c>
      <c r="E72" s="50">
        <f>$E$43</f>
        <v>45960</v>
      </c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30.0" customHeight="1">
      <c r="A73" s="38" t="s">
        <v>1475</v>
      </c>
      <c r="B73" s="39"/>
      <c r="C73" s="39"/>
      <c r="D73" s="39"/>
      <c r="E73" s="40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30.0" customHeight="1">
      <c r="E74" s="88"/>
    </row>
    <row r="75" ht="30.0" customHeight="1">
      <c r="E75" s="88"/>
    </row>
    <row r="76">
      <c r="E76" s="88"/>
    </row>
    <row r="77">
      <c r="E77" s="88"/>
    </row>
    <row r="78">
      <c r="E78" s="88"/>
    </row>
    <row r="79">
      <c r="E79" s="88"/>
    </row>
    <row r="80">
      <c r="E80" s="88"/>
    </row>
    <row r="81">
      <c r="A81" s="89"/>
      <c r="B81" s="90"/>
      <c r="C81" s="46"/>
      <c r="D81" s="46"/>
      <c r="E81" s="91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E82" s="88"/>
    </row>
    <row r="83">
      <c r="E83" s="88"/>
    </row>
    <row r="84">
      <c r="E84" s="88"/>
    </row>
    <row r="85">
      <c r="E85" s="88"/>
    </row>
    <row r="86">
      <c r="E86" s="88"/>
    </row>
    <row r="87">
      <c r="A87" s="89"/>
      <c r="B87" s="90"/>
      <c r="C87" s="46"/>
      <c r="D87" s="46"/>
      <c r="E87" s="91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>
      <c r="A88" s="89"/>
      <c r="B88" s="90"/>
      <c r="C88" s="46"/>
      <c r="D88" s="46"/>
      <c r="E88" s="91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>
      <c r="A89" s="89"/>
      <c r="B89" s="90"/>
      <c r="C89" s="46"/>
      <c r="D89" s="46"/>
      <c r="E89" s="91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>
      <c r="A90" s="89"/>
      <c r="B90" s="90"/>
      <c r="C90" s="46"/>
      <c r="D90" s="46"/>
      <c r="E90" s="91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>
      <c r="A91" s="89"/>
      <c r="B91" s="90"/>
      <c r="C91" s="46"/>
      <c r="D91" s="46"/>
      <c r="E91" s="91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>
      <c r="A92" s="89"/>
      <c r="B92" s="90"/>
      <c r="C92" s="46"/>
      <c r="D92" s="46"/>
      <c r="E92" s="91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>
      <c r="A93" s="89"/>
      <c r="B93" s="90"/>
      <c r="C93" s="46"/>
      <c r="D93" s="46"/>
      <c r="E93" s="91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>
      <c r="A94" s="89"/>
      <c r="B94" s="90"/>
      <c r="C94" s="46"/>
      <c r="D94" s="46"/>
      <c r="E94" s="91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>
      <c r="A95" s="89"/>
      <c r="B95" s="90"/>
      <c r="C95" s="46"/>
      <c r="D95" s="46"/>
      <c r="E95" s="91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>
      <c r="A96" s="89"/>
      <c r="B96" s="90"/>
      <c r="C96" s="46"/>
      <c r="D96" s="46"/>
      <c r="E96" s="91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>
      <c r="A97" s="89"/>
      <c r="B97" s="90"/>
      <c r="C97" s="46"/>
      <c r="D97" s="46"/>
      <c r="E97" s="91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>
      <c r="A98" s="89"/>
      <c r="B98" s="90"/>
      <c r="C98" s="46"/>
      <c r="D98" s="46"/>
      <c r="E98" s="91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>
      <c r="A99" s="89"/>
      <c r="B99" s="90"/>
      <c r="C99" s="46"/>
      <c r="D99" s="46"/>
      <c r="E99" s="91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>
      <c r="A100" s="89"/>
      <c r="B100" s="90"/>
      <c r="C100" s="46"/>
      <c r="D100" s="46"/>
      <c r="E100" s="91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>
      <c r="A101" s="89"/>
      <c r="B101" s="90"/>
      <c r="C101" s="46"/>
      <c r="D101" s="46"/>
      <c r="E101" s="91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>
      <c r="A102" s="89"/>
      <c r="B102" s="90"/>
      <c r="C102" s="46"/>
      <c r="D102" s="46"/>
      <c r="E102" s="91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>
      <c r="A103" s="89"/>
      <c r="B103" s="90"/>
      <c r="C103" s="46"/>
      <c r="D103" s="46"/>
      <c r="E103" s="91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>
      <c r="A104" s="89"/>
      <c r="B104" s="90"/>
      <c r="C104" s="46"/>
      <c r="D104" s="46"/>
      <c r="E104" s="91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>
      <c r="A105" s="89"/>
      <c r="B105" s="90"/>
      <c r="C105" s="46"/>
      <c r="D105" s="46"/>
      <c r="E105" s="91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>
      <c r="A106" s="89"/>
      <c r="B106" s="90"/>
      <c r="C106" s="46"/>
      <c r="D106" s="46"/>
      <c r="E106" s="91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>
      <c r="A107" s="89"/>
      <c r="B107" s="90"/>
      <c r="C107" s="46"/>
      <c r="D107" s="46"/>
      <c r="E107" s="91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>
      <c r="A108" s="89"/>
      <c r="B108" s="90"/>
      <c r="C108" s="46"/>
      <c r="D108" s="46"/>
      <c r="E108" s="91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>
      <c r="A109" s="89"/>
      <c r="B109" s="90"/>
      <c r="C109" s="46"/>
      <c r="D109" s="46"/>
      <c r="E109" s="91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>
      <c r="A110" s="89"/>
      <c r="B110" s="90"/>
      <c r="C110" s="46"/>
      <c r="D110" s="46"/>
      <c r="E110" s="91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>
      <c r="A111" s="89"/>
      <c r="B111" s="90"/>
      <c r="C111" s="46"/>
      <c r="D111" s="46"/>
      <c r="E111" s="91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>
      <c r="A112" s="89"/>
      <c r="B112" s="90"/>
      <c r="C112" s="46"/>
      <c r="D112" s="46"/>
      <c r="E112" s="91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>
      <c r="A113" s="89"/>
      <c r="B113" s="90"/>
      <c r="C113" s="46"/>
      <c r="D113" s="46"/>
      <c r="E113" s="91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>
      <c r="A114" s="89"/>
      <c r="B114" s="90"/>
      <c r="C114" s="46"/>
      <c r="D114" s="46"/>
      <c r="E114" s="91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>
      <c r="A115" s="89"/>
      <c r="B115" s="90"/>
      <c r="C115" s="46"/>
      <c r="D115" s="46"/>
      <c r="E115" s="91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>
      <c r="A116" s="89"/>
      <c r="B116" s="90"/>
      <c r="C116" s="46"/>
      <c r="D116" s="46"/>
      <c r="E116" s="91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>
      <c r="A117" s="89"/>
      <c r="B117" s="90"/>
      <c r="C117" s="46"/>
      <c r="D117" s="46"/>
      <c r="E117" s="91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>
      <c r="A118" s="89"/>
      <c r="B118" s="90"/>
      <c r="C118" s="46"/>
      <c r="D118" s="46"/>
      <c r="E118" s="91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>
      <c r="A119" s="89"/>
      <c r="B119" s="90"/>
      <c r="C119" s="46"/>
      <c r="D119" s="46"/>
      <c r="E119" s="91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>
      <c r="A120" s="89"/>
      <c r="B120" s="90"/>
      <c r="C120" s="46"/>
      <c r="D120" s="46"/>
      <c r="E120" s="91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>
      <c r="A121" s="89"/>
      <c r="B121" s="90"/>
      <c r="C121" s="46"/>
      <c r="D121" s="46"/>
      <c r="E121" s="91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>
      <c r="A122" s="89"/>
      <c r="B122" s="90"/>
      <c r="C122" s="46"/>
      <c r="D122" s="46"/>
      <c r="E122" s="91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>
      <c r="A123" s="89"/>
      <c r="B123" s="90"/>
      <c r="C123" s="46"/>
      <c r="D123" s="46"/>
      <c r="E123" s="91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>
      <c r="A124" s="89"/>
      <c r="B124" s="90"/>
      <c r="C124" s="46"/>
      <c r="D124" s="46"/>
      <c r="E124" s="91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>
      <c r="A125" s="89"/>
      <c r="B125" s="90"/>
      <c r="C125" s="46"/>
      <c r="D125" s="46"/>
      <c r="E125" s="91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>
      <c r="A126" s="89"/>
      <c r="B126" s="90"/>
      <c r="C126" s="46"/>
      <c r="D126" s="46"/>
      <c r="E126" s="91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>
      <c r="A127" s="89"/>
      <c r="B127" s="90"/>
      <c r="C127" s="46"/>
      <c r="D127" s="46"/>
      <c r="E127" s="91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>
      <c r="A128" s="89"/>
      <c r="B128" s="90"/>
      <c r="C128" s="46"/>
      <c r="D128" s="46"/>
      <c r="E128" s="91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>
      <c r="A129" s="89"/>
      <c r="B129" s="90"/>
      <c r="C129" s="46"/>
      <c r="D129" s="46"/>
      <c r="E129" s="91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>
      <c r="A130" s="89"/>
      <c r="B130" s="90"/>
      <c r="C130" s="46"/>
      <c r="D130" s="46"/>
      <c r="E130" s="91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>
      <c r="A131" s="89"/>
      <c r="B131" s="90"/>
      <c r="C131" s="46"/>
      <c r="D131" s="46"/>
      <c r="E131" s="91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>
      <c r="A132" s="89"/>
      <c r="B132" s="90"/>
      <c r="C132" s="46"/>
      <c r="D132" s="46"/>
      <c r="E132" s="91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>
      <c r="A133" s="89"/>
      <c r="B133" s="90"/>
      <c r="C133" s="46"/>
      <c r="D133" s="46"/>
      <c r="E133" s="91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>
      <c r="A134" s="89"/>
      <c r="B134" s="90"/>
      <c r="C134" s="46"/>
      <c r="D134" s="46"/>
      <c r="E134" s="91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>
      <c r="A135" s="89"/>
      <c r="B135" s="90"/>
      <c r="C135" s="46"/>
      <c r="D135" s="46"/>
      <c r="E135" s="91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>
      <c r="A136" s="89"/>
      <c r="B136" s="90"/>
      <c r="C136" s="46"/>
      <c r="D136" s="46"/>
      <c r="E136" s="91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>
      <c r="A137" s="89"/>
      <c r="B137" s="90"/>
      <c r="C137" s="46"/>
      <c r="D137" s="46"/>
      <c r="E137" s="91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>
      <c r="A138" s="89"/>
      <c r="B138" s="90"/>
      <c r="C138" s="46"/>
      <c r="D138" s="46"/>
      <c r="E138" s="91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>
      <c r="A139" s="89"/>
      <c r="B139" s="90"/>
      <c r="C139" s="46"/>
      <c r="D139" s="46"/>
      <c r="E139" s="91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>
      <c r="A140" s="89"/>
      <c r="B140" s="90"/>
      <c r="C140" s="46"/>
      <c r="D140" s="46"/>
      <c r="E140" s="91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>
      <c r="A141" s="89"/>
      <c r="B141" s="90"/>
      <c r="C141" s="46"/>
      <c r="D141" s="46"/>
      <c r="E141" s="91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>
      <c r="A142" s="89"/>
      <c r="B142" s="90"/>
      <c r="C142" s="46"/>
      <c r="D142" s="46"/>
      <c r="E142" s="91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>
      <c r="A143" s="89"/>
      <c r="B143" s="90"/>
      <c r="C143" s="46"/>
      <c r="D143" s="46"/>
      <c r="E143" s="91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>
      <c r="A144" s="89"/>
      <c r="B144" s="90"/>
      <c r="C144" s="46"/>
      <c r="D144" s="46"/>
      <c r="E144" s="91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>
      <c r="A145" s="89"/>
      <c r="B145" s="90"/>
      <c r="C145" s="46"/>
      <c r="D145" s="46"/>
      <c r="E145" s="91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>
      <c r="A146" s="89"/>
      <c r="B146" s="90"/>
      <c r="C146" s="46"/>
      <c r="D146" s="46"/>
      <c r="E146" s="91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>
      <c r="A147" s="89"/>
      <c r="B147" s="90"/>
      <c r="C147" s="46"/>
      <c r="D147" s="46"/>
      <c r="E147" s="91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>
      <c r="A148" s="89"/>
      <c r="B148" s="90"/>
      <c r="C148" s="46"/>
      <c r="D148" s="46"/>
      <c r="E148" s="91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>
      <c r="A149" s="89"/>
      <c r="B149" s="90"/>
      <c r="C149" s="46"/>
      <c r="D149" s="46"/>
      <c r="E149" s="91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>
      <c r="A150" s="89"/>
      <c r="B150" s="90"/>
      <c r="C150" s="46"/>
      <c r="D150" s="46"/>
      <c r="E150" s="91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>
      <c r="A151" s="89"/>
      <c r="B151" s="90"/>
      <c r="C151" s="46"/>
      <c r="D151" s="46"/>
      <c r="E151" s="91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>
      <c r="A152" s="89"/>
      <c r="B152" s="90"/>
      <c r="C152" s="46"/>
      <c r="D152" s="46"/>
      <c r="E152" s="91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>
      <c r="A153" s="89"/>
      <c r="B153" s="90"/>
      <c r="C153" s="46"/>
      <c r="D153" s="46"/>
      <c r="E153" s="91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>
      <c r="A154" s="89"/>
      <c r="B154" s="90"/>
      <c r="C154" s="46"/>
      <c r="D154" s="46"/>
      <c r="E154" s="91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>
      <c r="A155" s="89"/>
      <c r="B155" s="90"/>
      <c r="C155" s="46"/>
      <c r="D155" s="46"/>
      <c r="E155" s="91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>
      <c r="A156" s="89"/>
      <c r="B156" s="90"/>
      <c r="C156" s="46"/>
      <c r="D156" s="46"/>
      <c r="E156" s="91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>
      <c r="A157" s="89"/>
      <c r="B157" s="90"/>
      <c r="C157" s="46"/>
      <c r="D157" s="46"/>
      <c r="E157" s="91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>
      <c r="A158" s="89"/>
      <c r="B158" s="90"/>
      <c r="C158" s="46"/>
      <c r="D158" s="46"/>
      <c r="E158" s="91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>
      <c r="A159" s="89"/>
      <c r="B159" s="90"/>
      <c r="C159" s="46"/>
      <c r="D159" s="46"/>
      <c r="E159" s="91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>
      <c r="A160" s="89"/>
      <c r="B160" s="90"/>
      <c r="C160" s="46"/>
      <c r="D160" s="46"/>
      <c r="E160" s="91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>
      <c r="A161" s="89"/>
      <c r="B161" s="90"/>
      <c r="C161" s="46"/>
      <c r="D161" s="46"/>
      <c r="E161" s="91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>
      <c r="A162" s="89"/>
      <c r="B162" s="90"/>
      <c r="C162" s="46"/>
      <c r="D162" s="46"/>
      <c r="E162" s="91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>
      <c r="A163" s="89"/>
      <c r="B163" s="90"/>
      <c r="C163" s="46"/>
      <c r="D163" s="46"/>
      <c r="E163" s="91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>
      <c r="A164" s="89"/>
      <c r="B164" s="90"/>
      <c r="C164" s="46"/>
      <c r="D164" s="46"/>
      <c r="E164" s="91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>
      <c r="A165" s="89"/>
      <c r="B165" s="90"/>
      <c r="C165" s="46"/>
      <c r="D165" s="46"/>
      <c r="E165" s="91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>
      <c r="A166" s="89"/>
      <c r="B166" s="90"/>
      <c r="C166" s="46"/>
      <c r="D166" s="46"/>
      <c r="E166" s="91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>
      <c r="A167" s="89"/>
      <c r="B167" s="90"/>
      <c r="C167" s="46"/>
      <c r="D167" s="46"/>
      <c r="E167" s="91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>
      <c r="A168" s="89"/>
      <c r="B168" s="90"/>
      <c r="C168" s="46"/>
      <c r="D168" s="46"/>
      <c r="E168" s="91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>
      <c r="A169" s="89"/>
      <c r="B169" s="90"/>
      <c r="C169" s="46"/>
      <c r="D169" s="46"/>
      <c r="E169" s="91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>
      <c r="A170" s="89"/>
      <c r="B170" s="90"/>
      <c r="C170" s="46"/>
      <c r="D170" s="46"/>
      <c r="E170" s="91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>
      <c r="A171" s="89"/>
      <c r="B171" s="90"/>
      <c r="C171" s="46"/>
      <c r="D171" s="46"/>
      <c r="E171" s="91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>
      <c r="A172" s="89"/>
      <c r="B172" s="90"/>
      <c r="C172" s="46"/>
      <c r="D172" s="46"/>
      <c r="E172" s="91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>
      <c r="A173" s="89"/>
      <c r="B173" s="90"/>
      <c r="C173" s="46"/>
      <c r="D173" s="46"/>
      <c r="E173" s="91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>
      <c r="A174" s="89"/>
      <c r="B174" s="90"/>
      <c r="C174" s="46"/>
      <c r="D174" s="46"/>
      <c r="E174" s="91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>
      <c r="A175" s="89"/>
      <c r="B175" s="90"/>
      <c r="C175" s="46"/>
      <c r="D175" s="46"/>
      <c r="E175" s="91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>
      <c r="A176" s="89"/>
      <c r="B176" s="90"/>
      <c r="C176" s="46"/>
      <c r="D176" s="46"/>
      <c r="E176" s="91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>
      <c r="A177" s="89"/>
      <c r="B177" s="90"/>
      <c r="C177" s="46"/>
      <c r="D177" s="46"/>
      <c r="E177" s="91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>
      <c r="A178" s="89"/>
      <c r="B178" s="90"/>
      <c r="C178" s="46"/>
      <c r="D178" s="46"/>
      <c r="E178" s="91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>
      <c r="A179" s="89"/>
      <c r="B179" s="90"/>
      <c r="C179" s="46"/>
      <c r="D179" s="46"/>
      <c r="E179" s="91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>
      <c r="A180" s="89"/>
      <c r="B180" s="90"/>
      <c r="C180" s="46"/>
      <c r="D180" s="46"/>
      <c r="E180" s="91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>
      <c r="A181" s="89"/>
      <c r="B181" s="90"/>
      <c r="C181" s="46"/>
      <c r="D181" s="46"/>
      <c r="E181" s="91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>
      <c r="A182" s="89"/>
      <c r="B182" s="90"/>
      <c r="C182" s="46"/>
      <c r="D182" s="46"/>
      <c r="E182" s="91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>
      <c r="A183" s="89"/>
      <c r="B183" s="90"/>
      <c r="C183" s="46"/>
      <c r="D183" s="46"/>
      <c r="E183" s="91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>
      <c r="A184" s="89"/>
      <c r="B184" s="90"/>
      <c r="C184" s="46"/>
      <c r="D184" s="46"/>
      <c r="E184" s="91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>
      <c r="A185" s="89"/>
      <c r="B185" s="90"/>
      <c r="C185" s="46"/>
      <c r="D185" s="46"/>
      <c r="E185" s="91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>
      <c r="A186" s="89"/>
      <c r="B186" s="90"/>
      <c r="C186" s="46"/>
      <c r="D186" s="46"/>
      <c r="E186" s="91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>
      <c r="A187" s="89"/>
      <c r="B187" s="90"/>
      <c r="C187" s="46"/>
      <c r="D187" s="46"/>
      <c r="E187" s="91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>
      <c r="A188" s="89"/>
      <c r="B188" s="90"/>
      <c r="C188" s="46"/>
      <c r="D188" s="46"/>
      <c r="E188" s="91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>
      <c r="A189" s="89"/>
      <c r="B189" s="90"/>
      <c r="C189" s="46"/>
      <c r="D189" s="46"/>
      <c r="E189" s="91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>
      <c r="A190" s="89"/>
      <c r="B190" s="90"/>
      <c r="C190" s="46"/>
      <c r="D190" s="46"/>
      <c r="E190" s="91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>
      <c r="A191" s="89"/>
      <c r="B191" s="90"/>
      <c r="C191" s="46"/>
      <c r="D191" s="46"/>
      <c r="E191" s="91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>
      <c r="A192" s="89"/>
      <c r="B192" s="90"/>
      <c r="C192" s="46"/>
      <c r="D192" s="46"/>
      <c r="E192" s="91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>
      <c r="A193" s="89"/>
      <c r="B193" s="90"/>
      <c r="C193" s="46"/>
      <c r="D193" s="46"/>
      <c r="E193" s="91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>
      <c r="A194" s="89"/>
      <c r="B194" s="90"/>
      <c r="C194" s="46"/>
      <c r="D194" s="46"/>
      <c r="E194" s="91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>
      <c r="A195" s="89"/>
      <c r="B195" s="90"/>
      <c r="C195" s="46"/>
      <c r="D195" s="46"/>
      <c r="E195" s="91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89"/>
      <c r="B196" s="90"/>
      <c r="C196" s="46"/>
      <c r="D196" s="46"/>
      <c r="E196" s="91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89"/>
      <c r="B197" s="90"/>
      <c r="C197" s="46"/>
      <c r="D197" s="46"/>
      <c r="E197" s="91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89"/>
      <c r="B198" s="90"/>
      <c r="C198" s="46"/>
      <c r="D198" s="46"/>
      <c r="E198" s="91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>
      <c r="A199" s="89"/>
      <c r="B199" s="90"/>
      <c r="C199" s="46"/>
      <c r="D199" s="46"/>
      <c r="E199" s="91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>
      <c r="A200" s="89"/>
      <c r="B200" s="90"/>
      <c r="C200" s="46"/>
      <c r="D200" s="46"/>
      <c r="E200" s="91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>
      <c r="A201" s="89"/>
      <c r="B201" s="90"/>
      <c r="C201" s="46"/>
      <c r="D201" s="46"/>
      <c r="E201" s="91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>
      <c r="A202" s="89"/>
      <c r="B202" s="90"/>
      <c r="C202" s="46"/>
      <c r="D202" s="46"/>
      <c r="E202" s="91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>
      <c r="A203" s="89"/>
      <c r="B203" s="90"/>
      <c r="C203" s="46"/>
      <c r="D203" s="46"/>
      <c r="E203" s="91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>
      <c r="A204" s="89"/>
      <c r="B204" s="90"/>
      <c r="C204" s="46"/>
      <c r="D204" s="46"/>
      <c r="E204" s="91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>
      <c r="A205" s="89"/>
      <c r="B205" s="90"/>
      <c r="C205" s="46"/>
      <c r="D205" s="46"/>
      <c r="E205" s="91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>
      <c r="A206" s="89"/>
      <c r="B206" s="90"/>
      <c r="C206" s="46"/>
      <c r="D206" s="46"/>
      <c r="E206" s="91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>
      <c r="A207" s="89"/>
      <c r="B207" s="90"/>
      <c r="C207" s="46"/>
      <c r="D207" s="46"/>
      <c r="E207" s="91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>
      <c r="A208" s="89"/>
      <c r="B208" s="90"/>
      <c r="C208" s="46"/>
      <c r="D208" s="46"/>
      <c r="E208" s="91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>
      <c r="A209" s="89"/>
      <c r="B209" s="90"/>
      <c r="C209" s="46"/>
      <c r="D209" s="46"/>
      <c r="E209" s="91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>
      <c r="A210" s="89"/>
      <c r="B210" s="90"/>
      <c r="C210" s="46"/>
      <c r="D210" s="46"/>
      <c r="E210" s="91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>
      <c r="A211" s="89"/>
      <c r="B211" s="90"/>
      <c r="C211" s="46"/>
      <c r="D211" s="46"/>
      <c r="E211" s="91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>
      <c r="A212" s="89"/>
      <c r="B212" s="90"/>
      <c r="C212" s="46"/>
      <c r="D212" s="46"/>
      <c r="E212" s="91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>
      <c r="A213" s="89"/>
      <c r="B213" s="90"/>
      <c r="C213" s="46"/>
      <c r="D213" s="46"/>
      <c r="E213" s="91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>
      <c r="A214" s="89"/>
      <c r="B214" s="90"/>
      <c r="C214" s="46"/>
      <c r="D214" s="46"/>
      <c r="E214" s="91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>
      <c r="A215" s="89"/>
      <c r="B215" s="90"/>
      <c r="C215" s="46"/>
      <c r="D215" s="46"/>
      <c r="E215" s="91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>
      <c r="A216" s="89"/>
      <c r="B216" s="90"/>
      <c r="C216" s="46"/>
      <c r="D216" s="46"/>
      <c r="E216" s="91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>
      <c r="A217" s="89"/>
      <c r="B217" s="90"/>
      <c r="C217" s="46"/>
      <c r="D217" s="46"/>
      <c r="E217" s="91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>
      <c r="A218" s="89"/>
      <c r="B218" s="90"/>
      <c r="C218" s="46"/>
      <c r="D218" s="46"/>
      <c r="E218" s="91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>
      <c r="A219" s="89"/>
      <c r="B219" s="90"/>
      <c r="C219" s="46"/>
      <c r="D219" s="46"/>
      <c r="E219" s="91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>
      <c r="A220" s="89"/>
      <c r="B220" s="90"/>
      <c r="C220" s="46"/>
      <c r="D220" s="46"/>
      <c r="E220" s="91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>
      <c r="A221" s="89"/>
      <c r="B221" s="90"/>
      <c r="C221" s="46"/>
      <c r="D221" s="46"/>
      <c r="E221" s="91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5.75" customHeight="1">
      <c r="A222" s="89"/>
      <c r="B222" s="90"/>
      <c r="C222" s="46"/>
      <c r="D222" s="46"/>
      <c r="E222" s="91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5.75" customHeight="1">
      <c r="A223" s="89"/>
      <c r="B223" s="90"/>
      <c r="C223" s="46"/>
      <c r="D223" s="46"/>
      <c r="E223" s="91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5.75" customHeight="1">
      <c r="A224" s="89"/>
      <c r="B224" s="90"/>
      <c r="C224" s="46"/>
      <c r="D224" s="46"/>
      <c r="E224" s="91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5.75" customHeight="1">
      <c r="A225" s="89"/>
      <c r="B225" s="90"/>
      <c r="C225" s="46"/>
      <c r="D225" s="46"/>
      <c r="E225" s="91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5.75" customHeight="1">
      <c r="A226" s="89"/>
      <c r="B226" s="90"/>
      <c r="C226" s="46"/>
      <c r="D226" s="46"/>
      <c r="E226" s="91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5.75" customHeight="1">
      <c r="A227" s="89"/>
      <c r="B227" s="90"/>
      <c r="C227" s="46"/>
      <c r="D227" s="46"/>
      <c r="E227" s="91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5.75" customHeight="1">
      <c r="A228" s="89"/>
      <c r="B228" s="90"/>
      <c r="C228" s="46"/>
      <c r="D228" s="46"/>
      <c r="E228" s="91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5.75" customHeight="1">
      <c r="A229" s="89"/>
      <c r="B229" s="90"/>
      <c r="C229" s="46"/>
      <c r="D229" s="46"/>
      <c r="E229" s="91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5.75" customHeight="1">
      <c r="A230" s="89"/>
      <c r="B230" s="90"/>
      <c r="C230" s="46"/>
      <c r="D230" s="46"/>
      <c r="E230" s="91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5.75" customHeight="1">
      <c r="A231" s="89"/>
      <c r="B231" s="90"/>
      <c r="C231" s="46"/>
      <c r="D231" s="46"/>
      <c r="E231" s="91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5.75" customHeight="1">
      <c r="A232" s="89"/>
      <c r="B232" s="90"/>
      <c r="C232" s="46"/>
      <c r="D232" s="46"/>
      <c r="E232" s="91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5.75" customHeight="1">
      <c r="A233" s="89"/>
      <c r="B233" s="90"/>
      <c r="C233" s="46"/>
      <c r="D233" s="46"/>
      <c r="E233" s="91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5.75" customHeight="1">
      <c r="A234" s="89"/>
      <c r="B234" s="90"/>
      <c r="C234" s="46"/>
      <c r="D234" s="46"/>
      <c r="E234" s="91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5.75" customHeight="1">
      <c r="A235" s="89"/>
      <c r="B235" s="90"/>
      <c r="C235" s="46"/>
      <c r="D235" s="46"/>
      <c r="E235" s="91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5.75" customHeight="1">
      <c r="A236" s="89"/>
      <c r="B236" s="90"/>
      <c r="C236" s="46"/>
      <c r="D236" s="46"/>
      <c r="E236" s="91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5.75" customHeight="1">
      <c r="A237" s="89"/>
      <c r="B237" s="90"/>
      <c r="C237" s="46"/>
      <c r="D237" s="46"/>
      <c r="E237" s="91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5.75" customHeight="1">
      <c r="A238" s="89"/>
      <c r="B238" s="90"/>
      <c r="C238" s="46"/>
      <c r="D238" s="46"/>
      <c r="E238" s="91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5.75" customHeight="1">
      <c r="A239" s="89"/>
      <c r="B239" s="90"/>
      <c r="C239" s="46"/>
      <c r="D239" s="46"/>
      <c r="E239" s="91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5.75" customHeight="1">
      <c r="A240" s="89"/>
      <c r="B240" s="90"/>
      <c r="C240" s="46"/>
      <c r="D240" s="46"/>
      <c r="E240" s="91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5.75" customHeight="1">
      <c r="A241" s="89"/>
      <c r="B241" s="90"/>
      <c r="C241" s="46"/>
      <c r="D241" s="46"/>
      <c r="E241" s="91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5.75" customHeight="1">
      <c r="A242" s="89"/>
      <c r="B242" s="90"/>
      <c r="C242" s="46"/>
      <c r="D242" s="46"/>
      <c r="E242" s="91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5.75" customHeight="1">
      <c r="A243" s="89"/>
      <c r="B243" s="90"/>
      <c r="C243" s="46"/>
      <c r="D243" s="46"/>
      <c r="E243" s="91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5.75" customHeight="1">
      <c r="A244" s="89"/>
      <c r="B244" s="90"/>
      <c r="C244" s="46"/>
      <c r="D244" s="46"/>
      <c r="E244" s="91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5.75" customHeight="1">
      <c r="A245" s="89"/>
      <c r="B245" s="90"/>
      <c r="C245" s="46"/>
      <c r="D245" s="46"/>
      <c r="E245" s="91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5.75" customHeight="1">
      <c r="A246" s="89"/>
      <c r="B246" s="90"/>
      <c r="C246" s="46"/>
      <c r="D246" s="46"/>
      <c r="E246" s="91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5.75" customHeight="1">
      <c r="A247" s="89"/>
      <c r="B247" s="90"/>
      <c r="C247" s="46"/>
      <c r="D247" s="46"/>
      <c r="E247" s="91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5.75" customHeight="1">
      <c r="A248" s="89"/>
      <c r="B248" s="90"/>
      <c r="C248" s="46"/>
      <c r="D248" s="46"/>
      <c r="E248" s="91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5.75" customHeight="1">
      <c r="A249" s="89"/>
      <c r="B249" s="90"/>
      <c r="C249" s="46"/>
      <c r="D249" s="46"/>
      <c r="E249" s="91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5.75" customHeight="1">
      <c r="A250" s="89"/>
      <c r="B250" s="90"/>
      <c r="C250" s="46"/>
      <c r="D250" s="46"/>
      <c r="E250" s="91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5.75" customHeight="1">
      <c r="A251" s="89"/>
      <c r="B251" s="90"/>
      <c r="C251" s="46"/>
      <c r="D251" s="46"/>
      <c r="E251" s="91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5.75" customHeight="1">
      <c r="A252" s="89"/>
      <c r="B252" s="90"/>
      <c r="C252" s="46"/>
      <c r="D252" s="46"/>
      <c r="E252" s="91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>
      <c r="A253" s="89"/>
      <c r="B253" s="90"/>
      <c r="C253" s="46"/>
      <c r="D253" s="46"/>
      <c r="E253" s="91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>
      <c r="A254" s="89"/>
      <c r="B254" s="90"/>
      <c r="C254" s="46"/>
      <c r="D254" s="46"/>
      <c r="E254" s="91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>
      <c r="A255" s="89"/>
      <c r="B255" s="90"/>
      <c r="C255" s="46"/>
      <c r="D255" s="46"/>
      <c r="E255" s="91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>
      <c r="A256" s="89"/>
      <c r="B256" s="90"/>
      <c r="C256" s="46"/>
      <c r="D256" s="46"/>
      <c r="E256" s="91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89"/>
      <c r="B257" s="90"/>
      <c r="C257" s="46"/>
      <c r="D257" s="46"/>
      <c r="E257" s="91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89"/>
      <c r="B258" s="90"/>
      <c r="C258" s="46"/>
      <c r="D258" s="46"/>
      <c r="E258" s="91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89"/>
      <c r="B259" s="90"/>
      <c r="C259" s="46"/>
      <c r="D259" s="46"/>
      <c r="E259" s="91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89"/>
      <c r="B260" s="90"/>
      <c r="C260" s="46"/>
      <c r="D260" s="46"/>
      <c r="E260" s="91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89"/>
      <c r="B261" s="90"/>
      <c r="C261" s="46"/>
      <c r="D261" s="46"/>
      <c r="E261" s="91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89"/>
      <c r="B262" s="90"/>
      <c r="C262" s="46"/>
      <c r="D262" s="46"/>
      <c r="E262" s="91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89"/>
      <c r="B263" s="90"/>
      <c r="C263" s="46"/>
      <c r="D263" s="46"/>
      <c r="E263" s="91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E264" s="88"/>
    </row>
    <row r="265" ht="15.75" customHeight="1">
      <c r="E265" s="88"/>
    </row>
    <row r="266" ht="15.75" customHeight="1">
      <c r="E266" s="88"/>
    </row>
    <row r="267" ht="15.75" customHeight="1">
      <c r="E267" s="88"/>
    </row>
    <row r="268" ht="15.75" customHeight="1">
      <c r="E268" s="88"/>
    </row>
    <row r="269" ht="15.75" customHeight="1">
      <c r="E269" s="88"/>
    </row>
    <row r="270" ht="15.75" customHeight="1">
      <c r="E270" s="88"/>
    </row>
    <row r="271" ht="15.75" customHeight="1">
      <c r="E271" s="88"/>
    </row>
    <row r="272" ht="15.75" customHeight="1">
      <c r="E272" s="88"/>
    </row>
    <row r="273" ht="15.75" customHeight="1">
      <c r="E273" s="88"/>
    </row>
    <row r="274" ht="15.75" customHeight="1">
      <c r="E274" s="88"/>
    </row>
    <row r="275" ht="15.75" customHeight="1">
      <c r="E275" s="88"/>
    </row>
    <row r="276" ht="15.75" customHeight="1">
      <c r="E276" s="88"/>
    </row>
    <row r="277" ht="15.75" customHeight="1">
      <c r="E277" s="88"/>
    </row>
    <row r="278" ht="15.75" customHeight="1">
      <c r="E278" s="88"/>
    </row>
    <row r="279" ht="15.75" customHeight="1">
      <c r="E279" s="88"/>
    </row>
    <row r="280" ht="15.75" customHeight="1">
      <c r="E280" s="88"/>
    </row>
    <row r="281" ht="15.75" customHeight="1">
      <c r="E281" s="88"/>
    </row>
    <row r="282" ht="15.75" customHeight="1">
      <c r="E282" s="88"/>
    </row>
    <row r="283" ht="15.75" customHeight="1">
      <c r="E283" s="88"/>
    </row>
    <row r="284" ht="15.75" customHeight="1">
      <c r="E284" s="88"/>
    </row>
    <row r="285" ht="15.75" customHeight="1">
      <c r="E285" s="88"/>
    </row>
    <row r="286" ht="15.75" customHeight="1">
      <c r="E286" s="88"/>
    </row>
    <row r="287" ht="15.75" customHeight="1">
      <c r="E287" s="88"/>
    </row>
    <row r="288" ht="15.75" customHeight="1">
      <c r="E288" s="88"/>
    </row>
    <row r="289" ht="15.75" customHeight="1">
      <c r="E289" s="88"/>
    </row>
    <row r="290" ht="15.75" customHeight="1">
      <c r="E290" s="88"/>
    </row>
    <row r="291" ht="15.75" customHeight="1">
      <c r="E291" s="88"/>
    </row>
    <row r="292" ht="15.75" customHeight="1">
      <c r="E292" s="88"/>
    </row>
    <row r="293" ht="15.75" customHeight="1">
      <c r="E293" s="88"/>
    </row>
    <row r="294" ht="15.75" customHeight="1">
      <c r="E294" s="88"/>
    </row>
    <row r="295" ht="15.75" customHeight="1">
      <c r="E295" s="88"/>
    </row>
    <row r="296" ht="15.75" customHeight="1">
      <c r="E296" s="88"/>
    </row>
    <row r="297" ht="15.75" customHeight="1">
      <c r="E297" s="88"/>
    </row>
    <row r="298" ht="15.75" customHeight="1">
      <c r="E298" s="88"/>
    </row>
    <row r="299" ht="15.75" customHeight="1">
      <c r="E299" s="88"/>
    </row>
    <row r="300" ht="15.75" customHeight="1">
      <c r="E300" s="88"/>
    </row>
    <row r="301" ht="15.75" customHeight="1">
      <c r="E301" s="88"/>
    </row>
    <row r="302" ht="15.75" customHeight="1">
      <c r="E302" s="88"/>
    </row>
    <row r="303" ht="15.75" customHeight="1">
      <c r="E303" s="88"/>
    </row>
    <row r="304" ht="15.75" customHeight="1">
      <c r="E304" s="88"/>
    </row>
    <row r="305" ht="15.75" customHeight="1">
      <c r="E305" s="88"/>
    </row>
    <row r="306" ht="15.75" customHeight="1">
      <c r="E306" s="88"/>
    </row>
    <row r="307" ht="15.75" customHeight="1">
      <c r="E307" s="88"/>
    </row>
    <row r="308" ht="15.75" customHeight="1">
      <c r="E308" s="88"/>
    </row>
    <row r="309" ht="15.75" customHeight="1">
      <c r="E309" s="88"/>
    </row>
    <row r="310" ht="15.75" customHeight="1">
      <c r="E310" s="88"/>
    </row>
    <row r="311" ht="15.75" customHeight="1">
      <c r="E311" s="88"/>
    </row>
    <row r="312" ht="15.75" customHeight="1">
      <c r="E312" s="88"/>
    </row>
    <row r="313" ht="15.75" customHeight="1">
      <c r="E313" s="88"/>
    </row>
    <row r="314" ht="15.75" customHeight="1">
      <c r="E314" s="88"/>
    </row>
    <row r="315" ht="15.75" customHeight="1">
      <c r="E315" s="88"/>
    </row>
    <row r="316" ht="15.75" customHeight="1">
      <c r="E316" s="88"/>
    </row>
    <row r="317" ht="15.75" customHeight="1">
      <c r="E317" s="88"/>
    </row>
    <row r="318" ht="15.75" customHeight="1">
      <c r="E318" s="88"/>
    </row>
    <row r="319" ht="15.75" customHeight="1">
      <c r="E319" s="88"/>
    </row>
    <row r="320" ht="15.75" customHeight="1">
      <c r="E320" s="88"/>
    </row>
    <row r="321" ht="15.75" customHeight="1">
      <c r="E321" s="88"/>
    </row>
    <row r="322" ht="15.75" customHeight="1">
      <c r="E322" s="88"/>
    </row>
    <row r="323" ht="15.75" customHeight="1">
      <c r="E323" s="88"/>
    </row>
    <row r="324" ht="15.75" customHeight="1">
      <c r="E324" s="88"/>
    </row>
    <row r="325" ht="15.75" customHeight="1">
      <c r="E325" s="88"/>
    </row>
    <row r="326" ht="15.75" customHeight="1">
      <c r="E326" s="88"/>
    </row>
    <row r="327" ht="15.75" customHeight="1">
      <c r="E327" s="88"/>
    </row>
    <row r="328" ht="15.75" customHeight="1">
      <c r="E328" s="88"/>
    </row>
    <row r="329" ht="15.75" customHeight="1">
      <c r="E329" s="88"/>
    </row>
    <row r="330" ht="15.75" customHeight="1">
      <c r="E330" s="88"/>
    </row>
    <row r="331" ht="15.75" customHeight="1">
      <c r="E331" s="88"/>
    </row>
    <row r="332" ht="15.75" customHeight="1">
      <c r="E332" s="88"/>
    </row>
    <row r="333" ht="15.75" customHeight="1">
      <c r="E333" s="88"/>
    </row>
    <row r="334" ht="15.75" customHeight="1">
      <c r="E334" s="88"/>
    </row>
    <row r="335" ht="15.75" customHeight="1">
      <c r="E335" s="88"/>
    </row>
    <row r="336" ht="15.75" customHeight="1">
      <c r="E336" s="88"/>
    </row>
    <row r="337" ht="15.75" customHeight="1">
      <c r="E337" s="88"/>
    </row>
    <row r="338" ht="15.75" customHeight="1">
      <c r="E338" s="88"/>
    </row>
    <row r="339" ht="15.75" customHeight="1">
      <c r="E339" s="88"/>
    </row>
    <row r="340" ht="15.75" customHeight="1">
      <c r="E340" s="88"/>
    </row>
    <row r="341" ht="15.75" customHeight="1">
      <c r="E341" s="88"/>
    </row>
    <row r="342" ht="15.75" customHeight="1">
      <c r="E342" s="88"/>
    </row>
    <row r="343" ht="15.75" customHeight="1">
      <c r="E343" s="88"/>
    </row>
    <row r="344" ht="15.75" customHeight="1">
      <c r="E344" s="88"/>
    </row>
    <row r="345" ht="15.75" customHeight="1">
      <c r="E345" s="88"/>
    </row>
    <row r="346" ht="15.75" customHeight="1">
      <c r="E346" s="88"/>
    </row>
    <row r="347" ht="15.75" customHeight="1">
      <c r="E347" s="88"/>
    </row>
    <row r="348" ht="15.75" customHeight="1">
      <c r="E348" s="88"/>
    </row>
    <row r="349" ht="15.75" customHeight="1">
      <c r="E349" s="88"/>
    </row>
    <row r="350" ht="15.75" customHeight="1">
      <c r="E350" s="88"/>
    </row>
    <row r="351" ht="15.75" customHeight="1">
      <c r="E351" s="88"/>
    </row>
    <row r="352" ht="15.75" customHeight="1">
      <c r="E352" s="88"/>
    </row>
    <row r="353" ht="15.75" customHeight="1">
      <c r="E353" s="88"/>
    </row>
    <row r="354" ht="15.75" customHeight="1">
      <c r="E354" s="88"/>
    </row>
    <row r="355" ht="15.75" customHeight="1">
      <c r="E355" s="88"/>
    </row>
    <row r="356" ht="15.75" customHeight="1">
      <c r="E356" s="88"/>
    </row>
    <row r="357" ht="15.75" customHeight="1">
      <c r="E357" s="88"/>
    </row>
    <row r="358" ht="15.75" customHeight="1">
      <c r="E358" s="88"/>
    </row>
    <row r="359" ht="15.75" customHeight="1">
      <c r="E359" s="88"/>
    </row>
    <row r="360" ht="15.75" customHeight="1">
      <c r="E360" s="88"/>
    </row>
    <row r="361" ht="15.75" customHeight="1">
      <c r="E361" s="88"/>
    </row>
    <row r="362" ht="15.75" customHeight="1">
      <c r="E362" s="88"/>
    </row>
    <row r="363" ht="15.75" customHeight="1">
      <c r="E363" s="88"/>
    </row>
    <row r="364" ht="15.75" customHeight="1">
      <c r="E364" s="88"/>
    </row>
    <row r="365" ht="15.75" customHeight="1">
      <c r="E365" s="88"/>
    </row>
    <row r="366" ht="15.75" customHeight="1">
      <c r="E366" s="88"/>
    </row>
    <row r="367" ht="15.75" customHeight="1">
      <c r="E367" s="88"/>
    </row>
    <row r="368" ht="15.75" customHeight="1">
      <c r="E368" s="88"/>
    </row>
    <row r="369" ht="15.75" customHeight="1">
      <c r="E369" s="88"/>
    </row>
    <row r="370" ht="15.75" customHeight="1">
      <c r="E370" s="88"/>
    </row>
    <row r="371" ht="15.75" customHeight="1">
      <c r="E371" s="88"/>
    </row>
    <row r="372" ht="15.75" customHeight="1">
      <c r="E372" s="88"/>
    </row>
    <row r="373" ht="15.75" customHeight="1">
      <c r="E373" s="88"/>
    </row>
    <row r="374" ht="15.75" customHeight="1">
      <c r="E374" s="88"/>
    </row>
    <row r="375" ht="15.75" customHeight="1">
      <c r="E375" s="88"/>
    </row>
    <row r="376" ht="15.75" customHeight="1">
      <c r="E376" s="88"/>
    </row>
    <row r="377" ht="15.75" customHeight="1">
      <c r="E377" s="88"/>
    </row>
    <row r="378" ht="15.75" customHeight="1">
      <c r="E378" s="88"/>
    </row>
    <row r="379" ht="15.75" customHeight="1">
      <c r="E379" s="88"/>
    </row>
    <row r="380" ht="15.75" customHeight="1">
      <c r="E380" s="88"/>
    </row>
    <row r="381" ht="15.75" customHeight="1">
      <c r="E381" s="88"/>
    </row>
    <row r="382" ht="15.75" customHeight="1">
      <c r="E382" s="88"/>
    </row>
    <row r="383" ht="15.75" customHeight="1">
      <c r="E383" s="88"/>
    </row>
    <row r="384" ht="15.75" customHeight="1">
      <c r="E384" s="88"/>
    </row>
    <row r="385" ht="15.75" customHeight="1">
      <c r="E385" s="88"/>
    </row>
    <row r="386" ht="15.75" customHeight="1">
      <c r="E386" s="88"/>
    </row>
    <row r="387" ht="15.75" customHeight="1">
      <c r="E387" s="88"/>
    </row>
    <row r="388" ht="15.75" customHeight="1">
      <c r="E388" s="88"/>
    </row>
    <row r="389" ht="15.75" customHeight="1">
      <c r="E389" s="88"/>
    </row>
    <row r="390" ht="15.75" customHeight="1">
      <c r="E390" s="88"/>
    </row>
    <row r="391" ht="15.75" customHeight="1">
      <c r="E391" s="88"/>
    </row>
    <row r="392" ht="15.75" customHeight="1">
      <c r="E392" s="88"/>
    </row>
    <row r="393" ht="15.75" customHeight="1">
      <c r="E393" s="88"/>
    </row>
    <row r="394" ht="15.75" customHeight="1">
      <c r="E394" s="88"/>
    </row>
    <row r="395" ht="15.75" customHeight="1">
      <c r="E395" s="88"/>
    </row>
    <row r="396" ht="15.75" customHeight="1">
      <c r="E396" s="88"/>
    </row>
    <row r="397" ht="15.75" customHeight="1">
      <c r="E397" s="88"/>
    </row>
    <row r="398" ht="15.75" customHeight="1">
      <c r="E398" s="88"/>
    </row>
    <row r="399" ht="15.75" customHeight="1">
      <c r="E399" s="88"/>
    </row>
    <row r="400" ht="15.75" customHeight="1">
      <c r="E400" s="88"/>
    </row>
    <row r="401" ht="15.75" customHeight="1">
      <c r="E401" s="88"/>
    </row>
    <row r="402" ht="15.75" customHeight="1">
      <c r="E402" s="88"/>
    </row>
    <row r="403" ht="15.75" customHeight="1">
      <c r="E403" s="88"/>
    </row>
    <row r="404" ht="15.75" customHeight="1">
      <c r="E404" s="88"/>
    </row>
    <row r="405" ht="15.75" customHeight="1">
      <c r="E405" s="88"/>
    </row>
    <row r="406" ht="15.75" customHeight="1">
      <c r="E406" s="88"/>
    </row>
    <row r="407" ht="15.75" customHeight="1">
      <c r="E407" s="88"/>
    </row>
    <row r="408" ht="15.75" customHeight="1">
      <c r="E408" s="88"/>
    </row>
    <row r="409" ht="15.75" customHeight="1">
      <c r="E409" s="88"/>
    </row>
    <row r="410" ht="15.75" customHeight="1">
      <c r="E410" s="88"/>
    </row>
    <row r="411" ht="15.75" customHeight="1">
      <c r="E411" s="88"/>
    </row>
    <row r="412" ht="15.75" customHeight="1">
      <c r="E412" s="88"/>
    </row>
    <row r="413" ht="15.75" customHeight="1">
      <c r="E413" s="88"/>
    </row>
    <row r="414" ht="15.75" customHeight="1">
      <c r="E414" s="88"/>
    </row>
    <row r="415" ht="15.75" customHeight="1">
      <c r="E415" s="88"/>
    </row>
    <row r="416" ht="15.75" customHeight="1">
      <c r="E416" s="88"/>
    </row>
    <row r="417" ht="15.75" customHeight="1">
      <c r="E417" s="88"/>
    </row>
    <row r="418" ht="15.75" customHeight="1">
      <c r="E418" s="88"/>
    </row>
    <row r="419" ht="15.75" customHeight="1">
      <c r="E419" s="88"/>
    </row>
    <row r="420" ht="15.75" customHeight="1">
      <c r="E420" s="88"/>
    </row>
    <row r="421" ht="15.75" customHeight="1">
      <c r="E421" s="88"/>
    </row>
    <row r="422" ht="15.75" customHeight="1">
      <c r="E422" s="88"/>
    </row>
    <row r="423" ht="15.75" customHeight="1">
      <c r="E423" s="88"/>
    </row>
    <row r="424" ht="15.75" customHeight="1">
      <c r="E424" s="88"/>
    </row>
    <row r="425" ht="15.75" customHeight="1">
      <c r="E425" s="88"/>
    </row>
    <row r="426" ht="15.75" customHeight="1">
      <c r="E426" s="88"/>
    </row>
    <row r="427" ht="15.75" customHeight="1">
      <c r="E427" s="88"/>
    </row>
    <row r="428" ht="15.75" customHeight="1">
      <c r="E428" s="88"/>
    </row>
    <row r="429" ht="15.75" customHeight="1">
      <c r="E429" s="88"/>
    </row>
    <row r="430" ht="15.75" customHeight="1">
      <c r="E430" s="88"/>
    </row>
    <row r="431" ht="15.75" customHeight="1">
      <c r="E431" s="88"/>
    </row>
    <row r="432" ht="15.75" customHeight="1">
      <c r="E432" s="88"/>
    </row>
    <row r="433" ht="15.75" customHeight="1">
      <c r="E433" s="88"/>
    </row>
    <row r="434" ht="15.75" customHeight="1">
      <c r="E434" s="88"/>
    </row>
    <row r="435" ht="15.75" customHeight="1">
      <c r="E435" s="88"/>
    </row>
    <row r="436" ht="15.75" customHeight="1">
      <c r="E436" s="88"/>
    </row>
    <row r="437" ht="15.75" customHeight="1">
      <c r="E437" s="88"/>
    </row>
    <row r="438" ht="15.75" customHeight="1">
      <c r="E438" s="88"/>
    </row>
    <row r="439" ht="15.75" customHeight="1">
      <c r="E439" s="88"/>
    </row>
    <row r="440" ht="15.75" customHeight="1">
      <c r="E440" s="88"/>
    </row>
    <row r="441" ht="15.75" customHeight="1">
      <c r="E441" s="88"/>
    </row>
    <row r="442" ht="15.75" customHeight="1">
      <c r="E442" s="88"/>
    </row>
    <row r="443" ht="15.75" customHeight="1">
      <c r="E443" s="88"/>
    </row>
    <row r="444" ht="15.75" customHeight="1">
      <c r="E444" s="88"/>
    </row>
    <row r="445" ht="15.75" customHeight="1">
      <c r="E445" s="88"/>
    </row>
    <row r="446" ht="15.75" customHeight="1">
      <c r="E446" s="88"/>
    </row>
    <row r="447" ht="15.75" customHeight="1">
      <c r="E447" s="88"/>
    </row>
    <row r="448" ht="15.75" customHeight="1">
      <c r="E448" s="88"/>
    </row>
    <row r="449" ht="15.75" customHeight="1">
      <c r="E449" s="88"/>
    </row>
    <row r="450" ht="15.75" customHeight="1">
      <c r="E450" s="88"/>
    </row>
    <row r="451" ht="15.75" customHeight="1">
      <c r="E451" s="88"/>
    </row>
    <row r="452" ht="15.75" customHeight="1">
      <c r="E452" s="88"/>
    </row>
    <row r="453" ht="15.75" customHeight="1">
      <c r="E453" s="88"/>
    </row>
    <row r="454" ht="15.75" customHeight="1">
      <c r="E454" s="88"/>
    </row>
    <row r="455" ht="15.75" customHeight="1">
      <c r="E455" s="88"/>
    </row>
    <row r="456" ht="15.75" customHeight="1">
      <c r="E456" s="88"/>
    </row>
    <row r="457" ht="15.75" customHeight="1">
      <c r="E457" s="88"/>
    </row>
    <row r="458" ht="15.75" customHeight="1">
      <c r="E458" s="88"/>
    </row>
    <row r="459" ht="15.75" customHeight="1">
      <c r="E459" s="88"/>
    </row>
    <row r="460" ht="15.75" customHeight="1">
      <c r="E460" s="88"/>
    </row>
    <row r="461" ht="15.75" customHeight="1">
      <c r="E461" s="88"/>
    </row>
    <row r="462" ht="15.75" customHeight="1">
      <c r="E462" s="88"/>
    </row>
    <row r="463" ht="15.75" customHeight="1">
      <c r="E463" s="88"/>
    </row>
    <row r="464" ht="15.75" customHeight="1">
      <c r="E464" s="88"/>
    </row>
    <row r="465" ht="15.75" customHeight="1">
      <c r="E465" s="88"/>
    </row>
    <row r="466" ht="15.75" customHeight="1">
      <c r="E466" s="88"/>
    </row>
    <row r="467" ht="15.75" customHeight="1">
      <c r="E467" s="88"/>
    </row>
    <row r="468" ht="15.75" customHeight="1">
      <c r="E468" s="88"/>
    </row>
    <row r="469" ht="15.75" customHeight="1">
      <c r="E469" s="88"/>
    </row>
    <row r="470" ht="15.75" customHeight="1">
      <c r="E470" s="88"/>
    </row>
    <row r="471" ht="15.75" customHeight="1">
      <c r="E471" s="88"/>
    </row>
    <row r="472" ht="15.75" customHeight="1">
      <c r="E472" s="88"/>
    </row>
    <row r="473" ht="15.75" customHeight="1">
      <c r="E473" s="88"/>
    </row>
    <row r="474" ht="15.75" customHeight="1">
      <c r="E474" s="88"/>
    </row>
    <row r="475" ht="15.75" customHeight="1">
      <c r="E475" s="88"/>
    </row>
    <row r="476" ht="15.75" customHeight="1">
      <c r="E476" s="88"/>
    </row>
    <row r="477" ht="15.75" customHeight="1">
      <c r="E477" s="88"/>
    </row>
    <row r="478" ht="15.75" customHeight="1">
      <c r="E478" s="88"/>
    </row>
    <row r="479" ht="15.75" customHeight="1">
      <c r="E479" s="88"/>
    </row>
    <row r="480" ht="15.75" customHeight="1">
      <c r="E480" s="88"/>
    </row>
    <row r="481" ht="15.75" customHeight="1">
      <c r="E481" s="88"/>
    </row>
    <row r="482" ht="15.75" customHeight="1">
      <c r="E482" s="88"/>
    </row>
    <row r="483" ht="15.75" customHeight="1">
      <c r="E483" s="88"/>
    </row>
    <row r="484" ht="15.75" customHeight="1">
      <c r="E484" s="88"/>
    </row>
    <row r="485" ht="15.75" customHeight="1">
      <c r="E485" s="88"/>
    </row>
    <row r="486" ht="15.75" customHeight="1">
      <c r="E486" s="88"/>
    </row>
    <row r="487" ht="15.75" customHeight="1">
      <c r="E487" s="88"/>
    </row>
    <row r="488" ht="15.75" customHeight="1">
      <c r="E488" s="88"/>
    </row>
    <row r="489" ht="15.75" customHeight="1">
      <c r="E489" s="88"/>
    </row>
    <row r="490" ht="15.75" customHeight="1">
      <c r="E490" s="88"/>
    </row>
    <row r="491" ht="15.75" customHeight="1">
      <c r="E491" s="88"/>
    </row>
    <row r="492" ht="15.75" customHeight="1">
      <c r="E492" s="88"/>
    </row>
    <row r="493" ht="15.75" customHeight="1">
      <c r="E493" s="88"/>
    </row>
    <row r="494" ht="15.75" customHeight="1">
      <c r="E494" s="88"/>
    </row>
    <row r="495" ht="15.75" customHeight="1">
      <c r="E495" s="88"/>
    </row>
    <row r="496" ht="15.75" customHeight="1">
      <c r="E496" s="88"/>
    </row>
    <row r="497" ht="15.75" customHeight="1">
      <c r="E497" s="88"/>
    </row>
    <row r="498" ht="15.75" customHeight="1">
      <c r="E498" s="88"/>
    </row>
    <row r="499" ht="15.75" customHeight="1">
      <c r="E499" s="88"/>
    </row>
    <row r="500" ht="15.75" customHeight="1">
      <c r="E500" s="88"/>
    </row>
    <row r="501" ht="15.75" customHeight="1">
      <c r="E501" s="88"/>
    </row>
    <row r="502" ht="15.75" customHeight="1">
      <c r="E502" s="88"/>
    </row>
    <row r="503" ht="15.75" customHeight="1">
      <c r="E503" s="88"/>
    </row>
    <row r="504" ht="15.75" customHeight="1">
      <c r="E504" s="88"/>
    </row>
    <row r="505" ht="15.75" customHeight="1">
      <c r="E505" s="88"/>
    </row>
    <row r="506" ht="15.75" customHeight="1">
      <c r="E506" s="88"/>
    </row>
    <row r="507" ht="15.75" customHeight="1">
      <c r="E507" s="88"/>
    </row>
    <row r="508" ht="15.75" customHeight="1">
      <c r="E508" s="88"/>
    </row>
    <row r="509" ht="15.75" customHeight="1">
      <c r="E509" s="88"/>
    </row>
    <row r="510" ht="15.75" customHeight="1">
      <c r="E510" s="88"/>
    </row>
    <row r="511" ht="15.75" customHeight="1">
      <c r="E511" s="88"/>
    </row>
    <row r="512" ht="15.75" customHeight="1">
      <c r="E512" s="88"/>
    </row>
    <row r="513" ht="15.75" customHeight="1">
      <c r="E513" s="88"/>
    </row>
    <row r="514" ht="15.75" customHeight="1">
      <c r="E514" s="88"/>
    </row>
    <row r="515" ht="15.75" customHeight="1">
      <c r="E515" s="88"/>
    </row>
    <row r="516" ht="15.75" customHeight="1">
      <c r="E516" s="88"/>
    </row>
    <row r="517" ht="15.75" customHeight="1">
      <c r="E517" s="88"/>
    </row>
    <row r="518" ht="15.75" customHeight="1">
      <c r="E518" s="88"/>
    </row>
    <row r="519" ht="15.75" customHeight="1">
      <c r="E519" s="88"/>
    </row>
    <row r="520" ht="15.75" customHeight="1">
      <c r="E520" s="88"/>
    </row>
    <row r="521" ht="15.75" customHeight="1">
      <c r="E521" s="88"/>
    </row>
    <row r="522" ht="15.75" customHeight="1">
      <c r="E522" s="88"/>
    </row>
    <row r="523" ht="15.75" customHeight="1">
      <c r="E523" s="88"/>
    </row>
    <row r="524" ht="15.75" customHeight="1">
      <c r="E524" s="88"/>
    </row>
    <row r="525" ht="15.75" customHeight="1">
      <c r="E525" s="88"/>
    </row>
    <row r="526" ht="15.75" customHeight="1">
      <c r="E526" s="88"/>
    </row>
    <row r="527" ht="15.75" customHeight="1">
      <c r="E527" s="88"/>
    </row>
    <row r="528" ht="15.75" customHeight="1">
      <c r="E528" s="88"/>
    </row>
    <row r="529" ht="15.75" customHeight="1">
      <c r="E529" s="88"/>
    </row>
    <row r="530" ht="15.75" customHeight="1">
      <c r="E530" s="88"/>
    </row>
    <row r="531" ht="15.75" customHeight="1">
      <c r="E531" s="88"/>
    </row>
    <row r="532" ht="15.75" customHeight="1">
      <c r="E532" s="88"/>
    </row>
    <row r="533" ht="15.75" customHeight="1">
      <c r="E533" s="88"/>
    </row>
    <row r="534" ht="15.75" customHeight="1">
      <c r="E534" s="88"/>
    </row>
    <row r="535" ht="15.75" customHeight="1">
      <c r="E535" s="88"/>
    </row>
    <row r="536" ht="15.75" customHeight="1">
      <c r="E536" s="88"/>
    </row>
    <row r="537" ht="15.75" customHeight="1">
      <c r="E537" s="88"/>
    </row>
    <row r="538" ht="15.75" customHeight="1">
      <c r="E538" s="88"/>
    </row>
    <row r="539" ht="15.75" customHeight="1">
      <c r="E539" s="88"/>
    </row>
    <row r="540" ht="15.75" customHeight="1">
      <c r="E540" s="88"/>
    </row>
    <row r="541" ht="15.75" customHeight="1">
      <c r="E541" s="88"/>
    </row>
    <row r="542" ht="15.75" customHeight="1">
      <c r="E542" s="88"/>
    </row>
    <row r="543" ht="15.75" customHeight="1">
      <c r="E543" s="88"/>
    </row>
    <row r="544" ht="15.75" customHeight="1">
      <c r="E544" s="88"/>
    </row>
    <row r="545" ht="15.75" customHeight="1">
      <c r="E545" s="88"/>
    </row>
    <row r="546" ht="15.75" customHeight="1">
      <c r="E546" s="88"/>
    </row>
    <row r="547" ht="15.75" customHeight="1">
      <c r="E547" s="88"/>
    </row>
    <row r="548" ht="15.75" customHeight="1">
      <c r="E548" s="88"/>
    </row>
    <row r="549" ht="15.75" customHeight="1">
      <c r="E549" s="88"/>
    </row>
    <row r="550" ht="15.75" customHeight="1">
      <c r="E550" s="88"/>
    </row>
    <row r="551" ht="15.75" customHeight="1">
      <c r="E551" s="88"/>
    </row>
    <row r="552" ht="15.75" customHeight="1">
      <c r="E552" s="88"/>
    </row>
    <row r="553" ht="15.75" customHeight="1">
      <c r="E553" s="88"/>
    </row>
    <row r="554" ht="15.75" customHeight="1">
      <c r="E554" s="88"/>
    </row>
    <row r="555" ht="15.75" customHeight="1">
      <c r="E555" s="88"/>
    </row>
    <row r="556" ht="15.75" customHeight="1">
      <c r="E556" s="88"/>
    </row>
    <row r="557" ht="15.75" customHeight="1">
      <c r="E557" s="88"/>
    </row>
    <row r="558" ht="15.75" customHeight="1">
      <c r="E558" s="88"/>
    </row>
    <row r="559" ht="15.75" customHeight="1">
      <c r="E559" s="88"/>
    </row>
    <row r="560" ht="15.75" customHeight="1">
      <c r="E560" s="88"/>
    </row>
    <row r="561" ht="15.75" customHeight="1">
      <c r="E561" s="88"/>
    </row>
    <row r="562" ht="15.75" customHeight="1">
      <c r="E562" s="88"/>
    </row>
    <row r="563" ht="15.75" customHeight="1">
      <c r="E563" s="88"/>
    </row>
    <row r="564" ht="15.75" customHeight="1">
      <c r="E564" s="88"/>
    </row>
    <row r="565" ht="15.75" customHeight="1">
      <c r="E565" s="88"/>
    </row>
    <row r="566" ht="15.75" customHeight="1">
      <c r="E566" s="88"/>
    </row>
    <row r="567" ht="15.75" customHeight="1">
      <c r="E567" s="88"/>
    </row>
    <row r="568" ht="15.75" customHeight="1">
      <c r="E568" s="88"/>
    </row>
    <row r="569" ht="15.75" customHeight="1">
      <c r="E569" s="88"/>
    </row>
    <row r="570" ht="15.75" customHeight="1">
      <c r="E570" s="88"/>
    </row>
    <row r="571" ht="15.75" customHeight="1">
      <c r="E571" s="88"/>
    </row>
    <row r="572" ht="15.75" customHeight="1">
      <c r="E572" s="88"/>
    </row>
    <row r="573" ht="15.75" customHeight="1">
      <c r="E573" s="88"/>
    </row>
    <row r="574" ht="15.75" customHeight="1">
      <c r="E574" s="88"/>
    </row>
    <row r="575" ht="15.75" customHeight="1">
      <c r="E575" s="88"/>
    </row>
    <row r="576" ht="15.75" customHeight="1">
      <c r="E576" s="88"/>
    </row>
    <row r="577" ht="15.75" customHeight="1">
      <c r="E577" s="88"/>
    </row>
    <row r="578" ht="15.75" customHeight="1">
      <c r="E578" s="88"/>
    </row>
    <row r="579" ht="15.75" customHeight="1">
      <c r="E579" s="88"/>
    </row>
    <row r="580" ht="15.75" customHeight="1">
      <c r="E580" s="88"/>
    </row>
    <row r="581" ht="15.75" customHeight="1">
      <c r="E581" s="88"/>
    </row>
    <row r="582" ht="15.75" customHeight="1">
      <c r="E582" s="88"/>
    </row>
    <row r="583" ht="15.75" customHeight="1">
      <c r="E583" s="88"/>
    </row>
    <row r="584" ht="15.75" customHeight="1">
      <c r="E584" s="88"/>
    </row>
    <row r="585" ht="15.75" customHeight="1">
      <c r="E585" s="88"/>
    </row>
    <row r="586" ht="15.75" customHeight="1">
      <c r="E586" s="88"/>
    </row>
    <row r="587" ht="15.75" customHeight="1">
      <c r="E587" s="88"/>
    </row>
    <row r="588" ht="15.75" customHeight="1">
      <c r="E588" s="88"/>
    </row>
    <row r="589" ht="15.75" customHeight="1">
      <c r="E589" s="88"/>
    </row>
    <row r="590" ht="15.75" customHeight="1">
      <c r="E590" s="88"/>
    </row>
    <row r="591" ht="15.75" customHeight="1">
      <c r="E591" s="88"/>
    </row>
    <row r="592" ht="15.75" customHeight="1">
      <c r="E592" s="88"/>
    </row>
    <row r="593" ht="15.75" customHeight="1">
      <c r="E593" s="88"/>
    </row>
    <row r="594" ht="15.75" customHeight="1">
      <c r="E594" s="88"/>
    </row>
    <row r="595" ht="15.75" customHeight="1">
      <c r="E595" s="88"/>
    </row>
    <row r="596" ht="15.75" customHeight="1">
      <c r="E596" s="88"/>
    </row>
    <row r="597" ht="15.75" customHeight="1">
      <c r="E597" s="88"/>
    </row>
    <row r="598" ht="15.75" customHeight="1">
      <c r="E598" s="88"/>
    </row>
    <row r="599" ht="15.75" customHeight="1">
      <c r="E599" s="88"/>
    </row>
    <row r="600" ht="15.75" customHeight="1">
      <c r="E600" s="88"/>
    </row>
    <row r="601" ht="15.75" customHeight="1">
      <c r="E601" s="88"/>
    </row>
    <row r="602" ht="15.75" customHeight="1">
      <c r="E602" s="88"/>
    </row>
    <row r="603" ht="15.75" customHeight="1">
      <c r="E603" s="88"/>
    </row>
    <row r="604" ht="15.75" customHeight="1">
      <c r="E604" s="88"/>
    </row>
    <row r="605" ht="15.75" customHeight="1">
      <c r="E605" s="88"/>
    </row>
    <row r="606" ht="15.75" customHeight="1">
      <c r="E606" s="88"/>
    </row>
    <row r="607" ht="15.75" customHeight="1">
      <c r="E607" s="88"/>
    </row>
    <row r="608" ht="15.75" customHeight="1">
      <c r="E608" s="88"/>
    </row>
    <row r="609" ht="15.75" customHeight="1">
      <c r="E609" s="88"/>
    </row>
    <row r="610" ht="15.75" customHeight="1">
      <c r="E610" s="88"/>
    </row>
    <row r="611" ht="15.75" customHeight="1">
      <c r="E611" s="88"/>
    </row>
    <row r="612" ht="15.75" customHeight="1">
      <c r="E612" s="88"/>
    </row>
    <row r="613" ht="15.75" customHeight="1">
      <c r="E613" s="88"/>
    </row>
    <row r="614" ht="15.75" customHeight="1">
      <c r="E614" s="88"/>
    </row>
    <row r="615" ht="15.75" customHeight="1">
      <c r="E615" s="88"/>
    </row>
    <row r="616" ht="15.75" customHeight="1">
      <c r="E616" s="88"/>
    </row>
    <row r="617" ht="15.75" customHeight="1">
      <c r="E617" s="88"/>
    </row>
    <row r="618" ht="15.75" customHeight="1">
      <c r="E618" s="88"/>
    </row>
    <row r="619" ht="15.75" customHeight="1">
      <c r="E619" s="88"/>
    </row>
    <row r="620" ht="15.75" customHeight="1">
      <c r="E620" s="88"/>
    </row>
    <row r="621" ht="15.75" customHeight="1">
      <c r="E621" s="88"/>
    </row>
    <row r="622" ht="15.75" customHeight="1">
      <c r="E622" s="88"/>
    </row>
    <row r="623" ht="15.75" customHeight="1">
      <c r="E623" s="88"/>
    </row>
    <row r="624" ht="15.75" customHeight="1">
      <c r="E624" s="88"/>
    </row>
    <row r="625" ht="15.75" customHeight="1">
      <c r="E625" s="88"/>
    </row>
    <row r="626" ht="15.75" customHeight="1">
      <c r="E626" s="88"/>
    </row>
    <row r="627" ht="15.75" customHeight="1">
      <c r="E627" s="88"/>
    </row>
    <row r="628" ht="15.75" customHeight="1">
      <c r="E628" s="88"/>
    </row>
    <row r="629" ht="15.75" customHeight="1">
      <c r="E629" s="88"/>
    </row>
    <row r="630" ht="15.75" customHeight="1">
      <c r="E630" s="88"/>
    </row>
    <row r="631" ht="15.75" customHeight="1">
      <c r="E631" s="88"/>
    </row>
    <row r="632" ht="15.75" customHeight="1">
      <c r="E632" s="88"/>
    </row>
    <row r="633" ht="15.75" customHeight="1">
      <c r="E633" s="88"/>
    </row>
    <row r="634" ht="15.75" customHeight="1">
      <c r="E634" s="88"/>
    </row>
    <row r="635" ht="15.75" customHeight="1">
      <c r="E635" s="88"/>
    </row>
    <row r="636" ht="15.75" customHeight="1">
      <c r="E636" s="88"/>
    </row>
    <row r="637" ht="15.75" customHeight="1">
      <c r="E637" s="88"/>
    </row>
    <row r="638" ht="15.75" customHeight="1">
      <c r="E638" s="88"/>
    </row>
    <row r="639" ht="15.75" customHeight="1">
      <c r="E639" s="88"/>
    </row>
    <row r="640" ht="15.75" customHeight="1">
      <c r="E640" s="88"/>
    </row>
    <row r="641" ht="15.75" customHeight="1">
      <c r="E641" s="88"/>
    </row>
    <row r="642" ht="15.75" customHeight="1">
      <c r="E642" s="88"/>
    </row>
    <row r="643" ht="15.75" customHeight="1">
      <c r="E643" s="88"/>
    </row>
    <row r="644" ht="15.75" customHeight="1">
      <c r="E644" s="88"/>
    </row>
    <row r="645" ht="15.75" customHeight="1">
      <c r="E645" s="88"/>
    </row>
    <row r="646" ht="15.75" customHeight="1">
      <c r="E646" s="88"/>
    </row>
    <row r="647" ht="15.75" customHeight="1">
      <c r="E647" s="88"/>
    </row>
    <row r="648" ht="15.75" customHeight="1">
      <c r="E648" s="88"/>
    </row>
    <row r="649" ht="15.75" customHeight="1">
      <c r="E649" s="88"/>
    </row>
    <row r="650" ht="15.75" customHeight="1">
      <c r="E650" s="88"/>
    </row>
    <row r="651" ht="15.75" customHeight="1">
      <c r="E651" s="88"/>
    </row>
    <row r="652" ht="15.75" customHeight="1">
      <c r="E652" s="88"/>
    </row>
    <row r="653" ht="15.75" customHeight="1">
      <c r="E653" s="88"/>
    </row>
    <row r="654" ht="15.75" customHeight="1">
      <c r="E654" s="88"/>
    </row>
    <row r="655" ht="15.75" customHeight="1">
      <c r="E655" s="88"/>
    </row>
    <row r="656" ht="15.75" customHeight="1">
      <c r="E656" s="88"/>
    </row>
    <row r="657" ht="15.75" customHeight="1">
      <c r="E657" s="88"/>
    </row>
    <row r="658" ht="15.75" customHeight="1">
      <c r="E658" s="88"/>
    </row>
    <row r="659" ht="15.75" customHeight="1">
      <c r="E659" s="88"/>
    </row>
    <row r="660" ht="15.75" customHeight="1">
      <c r="E660" s="88"/>
    </row>
    <row r="661" ht="15.75" customHeight="1">
      <c r="E661" s="88"/>
    </row>
    <row r="662" ht="15.75" customHeight="1">
      <c r="E662" s="88"/>
    </row>
    <row r="663" ht="15.75" customHeight="1">
      <c r="E663" s="88"/>
    </row>
    <row r="664" ht="15.75" customHeight="1">
      <c r="E664" s="88"/>
    </row>
    <row r="665" ht="15.75" customHeight="1">
      <c r="E665" s="88"/>
    </row>
    <row r="666" ht="15.75" customHeight="1">
      <c r="E666" s="88"/>
    </row>
    <row r="667" ht="15.75" customHeight="1">
      <c r="E667" s="88"/>
    </row>
    <row r="668" ht="15.75" customHeight="1">
      <c r="E668" s="88"/>
    </row>
    <row r="669" ht="15.75" customHeight="1">
      <c r="E669" s="88"/>
    </row>
    <row r="670" ht="15.75" customHeight="1">
      <c r="E670" s="88"/>
    </row>
    <row r="671" ht="15.75" customHeight="1">
      <c r="E671" s="88"/>
    </row>
    <row r="672" ht="15.75" customHeight="1">
      <c r="E672" s="88"/>
    </row>
    <row r="673" ht="15.75" customHeight="1">
      <c r="E673" s="88"/>
    </row>
    <row r="674" ht="15.75" customHeight="1">
      <c r="E674" s="88"/>
    </row>
    <row r="675" ht="15.75" customHeight="1">
      <c r="E675" s="88"/>
    </row>
    <row r="676" ht="15.75" customHeight="1">
      <c r="E676" s="88"/>
    </row>
    <row r="677" ht="15.75" customHeight="1">
      <c r="E677" s="88"/>
    </row>
    <row r="678" ht="15.75" customHeight="1">
      <c r="E678" s="88"/>
    </row>
    <row r="679" ht="15.75" customHeight="1">
      <c r="E679" s="88"/>
    </row>
    <row r="680" ht="15.75" customHeight="1">
      <c r="E680" s="88"/>
    </row>
    <row r="681" ht="15.75" customHeight="1">
      <c r="E681" s="88"/>
    </row>
    <row r="682" ht="15.75" customHeight="1">
      <c r="E682" s="88"/>
    </row>
    <row r="683" ht="15.75" customHeight="1">
      <c r="E683" s="88"/>
    </row>
    <row r="684" ht="15.75" customHeight="1">
      <c r="E684" s="88"/>
    </row>
    <row r="685" ht="15.75" customHeight="1">
      <c r="E685" s="88"/>
    </row>
    <row r="686" ht="15.75" customHeight="1">
      <c r="E686" s="88"/>
    </row>
    <row r="687" ht="15.75" customHeight="1">
      <c r="E687" s="88"/>
    </row>
    <row r="688" ht="15.75" customHeight="1">
      <c r="E688" s="88"/>
    </row>
    <row r="689" ht="15.75" customHeight="1">
      <c r="E689" s="88"/>
    </row>
    <row r="690" ht="15.75" customHeight="1">
      <c r="E690" s="88"/>
    </row>
    <row r="691" ht="15.75" customHeight="1">
      <c r="E691" s="88"/>
    </row>
    <row r="692" ht="15.75" customHeight="1">
      <c r="E692" s="88"/>
    </row>
    <row r="693" ht="15.75" customHeight="1">
      <c r="E693" s="88"/>
    </row>
    <row r="694" ht="15.75" customHeight="1">
      <c r="E694" s="88"/>
    </row>
    <row r="695" ht="15.75" customHeight="1">
      <c r="E695" s="88"/>
    </row>
    <row r="696" ht="15.75" customHeight="1">
      <c r="E696" s="88"/>
    </row>
    <row r="697" ht="15.75" customHeight="1">
      <c r="E697" s="88"/>
    </row>
    <row r="698" ht="15.75" customHeight="1">
      <c r="E698" s="88"/>
    </row>
    <row r="699" ht="15.75" customHeight="1">
      <c r="E699" s="88"/>
    </row>
    <row r="700" ht="15.75" customHeight="1">
      <c r="E700" s="88"/>
    </row>
    <row r="701" ht="15.75" customHeight="1">
      <c r="E701" s="88"/>
    </row>
    <row r="702" ht="15.75" customHeight="1">
      <c r="E702" s="88"/>
    </row>
    <row r="703" ht="15.75" customHeight="1">
      <c r="E703" s="88"/>
    </row>
    <row r="704" ht="15.75" customHeight="1">
      <c r="E704" s="88"/>
    </row>
    <row r="705" ht="15.75" customHeight="1">
      <c r="E705" s="88"/>
    </row>
    <row r="706" ht="15.75" customHeight="1">
      <c r="E706" s="88"/>
    </row>
    <row r="707" ht="15.75" customHeight="1">
      <c r="E707" s="88"/>
    </row>
    <row r="708" ht="15.75" customHeight="1">
      <c r="E708" s="88"/>
    </row>
    <row r="709" ht="15.75" customHeight="1">
      <c r="E709" s="88"/>
    </row>
    <row r="710" ht="15.75" customHeight="1">
      <c r="E710" s="88"/>
    </row>
    <row r="711" ht="15.75" customHeight="1">
      <c r="E711" s="88"/>
    </row>
    <row r="712" ht="15.75" customHeight="1">
      <c r="E712" s="88"/>
    </row>
    <row r="713" ht="15.75" customHeight="1">
      <c r="E713" s="88"/>
    </row>
    <row r="714" ht="15.75" customHeight="1">
      <c r="E714" s="88"/>
    </row>
    <row r="715" ht="15.75" customHeight="1">
      <c r="E715" s="88"/>
    </row>
    <row r="716" ht="15.75" customHeight="1">
      <c r="E716" s="88"/>
    </row>
    <row r="717" ht="15.75" customHeight="1">
      <c r="E717" s="88"/>
    </row>
    <row r="718" ht="15.75" customHeight="1">
      <c r="E718" s="88"/>
    </row>
    <row r="719" ht="15.75" customHeight="1">
      <c r="E719" s="88"/>
    </row>
    <row r="720" ht="15.75" customHeight="1">
      <c r="E720" s="88"/>
    </row>
    <row r="721" ht="15.75" customHeight="1">
      <c r="E721" s="88"/>
    </row>
    <row r="722" ht="15.75" customHeight="1">
      <c r="E722" s="88"/>
    </row>
    <row r="723" ht="15.75" customHeight="1">
      <c r="E723" s="88"/>
    </row>
    <row r="724" ht="15.75" customHeight="1">
      <c r="E724" s="88"/>
    </row>
    <row r="725" ht="15.75" customHeight="1">
      <c r="E725" s="88"/>
    </row>
    <row r="726" ht="15.75" customHeight="1">
      <c r="E726" s="88"/>
    </row>
    <row r="727" ht="15.75" customHeight="1">
      <c r="E727" s="88"/>
    </row>
    <row r="728" ht="15.75" customHeight="1">
      <c r="E728" s="88"/>
    </row>
    <row r="729" ht="15.75" customHeight="1">
      <c r="E729" s="88"/>
    </row>
    <row r="730" ht="15.75" customHeight="1">
      <c r="E730" s="88"/>
    </row>
    <row r="731" ht="15.75" customHeight="1">
      <c r="E731" s="88"/>
    </row>
    <row r="732" ht="15.75" customHeight="1">
      <c r="E732" s="88"/>
    </row>
    <row r="733" ht="15.75" customHeight="1">
      <c r="E733" s="88"/>
    </row>
    <row r="734" ht="15.75" customHeight="1">
      <c r="E734" s="88"/>
    </row>
    <row r="735" ht="15.75" customHeight="1">
      <c r="E735" s="88"/>
    </row>
    <row r="736" ht="15.75" customHeight="1">
      <c r="E736" s="88"/>
    </row>
    <row r="737" ht="15.75" customHeight="1">
      <c r="E737" s="88"/>
    </row>
    <row r="738" ht="15.75" customHeight="1">
      <c r="E738" s="88"/>
    </row>
    <row r="739" ht="15.75" customHeight="1">
      <c r="E739" s="88"/>
    </row>
    <row r="740" ht="15.75" customHeight="1">
      <c r="E740" s="88"/>
    </row>
    <row r="741" ht="15.75" customHeight="1">
      <c r="E741" s="88"/>
    </row>
    <row r="742" ht="15.75" customHeight="1">
      <c r="E742" s="88"/>
    </row>
    <row r="743" ht="15.75" customHeight="1">
      <c r="E743" s="88"/>
    </row>
    <row r="744" ht="15.75" customHeight="1">
      <c r="E744" s="88"/>
    </row>
    <row r="745" ht="15.75" customHeight="1">
      <c r="E745" s="88"/>
    </row>
    <row r="746" ht="15.75" customHeight="1">
      <c r="E746" s="88"/>
    </row>
    <row r="747" ht="15.75" customHeight="1">
      <c r="E747" s="88"/>
    </row>
    <row r="748" ht="15.75" customHeight="1">
      <c r="E748" s="88"/>
    </row>
    <row r="749" ht="15.75" customHeight="1">
      <c r="E749" s="88"/>
    </row>
    <row r="750" ht="15.75" customHeight="1">
      <c r="E750" s="88"/>
    </row>
    <row r="751" ht="15.75" customHeight="1">
      <c r="E751" s="88"/>
    </row>
    <row r="752" ht="15.75" customHeight="1">
      <c r="E752" s="88"/>
    </row>
    <row r="753" ht="15.75" customHeight="1">
      <c r="E753" s="88"/>
    </row>
    <row r="754" ht="15.75" customHeight="1">
      <c r="E754" s="88"/>
    </row>
    <row r="755" ht="15.75" customHeight="1">
      <c r="E755" s="88"/>
    </row>
    <row r="756" ht="15.75" customHeight="1">
      <c r="E756" s="88"/>
    </row>
    <row r="757" ht="15.75" customHeight="1">
      <c r="E757" s="88"/>
    </row>
    <row r="758" ht="15.75" customHeight="1">
      <c r="E758" s="88"/>
    </row>
    <row r="759" ht="15.75" customHeight="1">
      <c r="E759" s="88"/>
    </row>
    <row r="760" ht="15.75" customHeight="1">
      <c r="E760" s="88"/>
    </row>
    <row r="761" ht="15.75" customHeight="1">
      <c r="E761" s="88"/>
    </row>
    <row r="762" ht="15.75" customHeight="1">
      <c r="E762" s="88"/>
    </row>
    <row r="763" ht="15.75" customHeight="1">
      <c r="E763" s="88"/>
    </row>
    <row r="764" ht="15.75" customHeight="1">
      <c r="E764" s="88"/>
    </row>
    <row r="765" ht="15.75" customHeight="1">
      <c r="E765" s="88"/>
    </row>
    <row r="766" ht="15.75" customHeight="1">
      <c r="E766" s="88"/>
    </row>
    <row r="767" ht="15.75" customHeight="1">
      <c r="E767" s="88"/>
    </row>
    <row r="768" ht="15.75" customHeight="1">
      <c r="E768" s="88"/>
    </row>
    <row r="769" ht="15.75" customHeight="1">
      <c r="E769" s="88"/>
    </row>
    <row r="770" ht="15.75" customHeight="1">
      <c r="E770" s="88"/>
    </row>
    <row r="771" ht="15.75" customHeight="1">
      <c r="E771" s="88"/>
    </row>
    <row r="772" ht="15.75" customHeight="1">
      <c r="E772" s="88"/>
    </row>
    <row r="773" ht="15.75" customHeight="1">
      <c r="E773" s="88"/>
    </row>
    <row r="774" ht="15.75" customHeight="1">
      <c r="E774" s="88"/>
    </row>
    <row r="775" ht="15.75" customHeight="1">
      <c r="E775" s="88"/>
    </row>
    <row r="776" ht="15.75" customHeight="1">
      <c r="E776" s="88"/>
    </row>
    <row r="777" ht="15.75" customHeight="1">
      <c r="E777" s="88"/>
    </row>
    <row r="778" ht="15.75" customHeight="1">
      <c r="E778" s="88"/>
    </row>
    <row r="779" ht="15.75" customHeight="1">
      <c r="E779" s="88"/>
    </row>
    <row r="780" ht="15.75" customHeight="1">
      <c r="E780" s="88"/>
    </row>
    <row r="781" ht="15.75" customHeight="1">
      <c r="E781" s="88"/>
    </row>
    <row r="782" ht="15.75" customHeight="1">
      <c r="E782" s="88"/>
    </row>
    <row r="783" ht="15.75" customHeight="1">
      <c r="E783" s="88"/>
    </row>
    <row r="784" ht="15.75" customHeight="1">
      <c r="E784" s="88"/>
    </row>
    <row r="785" ht="15.75" customHeight="1">
      <c r="E785" s="88"/>
    </row>
    <row r="786" ht="15.75" customHeight="1">
      <c r="E786" s="88"/>
    </row>
    <row r="787" ht="15.75" customHeight="1">
      <c r="E787" s="88"/>
    </row>
    <row r="788" ht="15.75" customHeight="1">
      <c r="E788" s="88"/>
    </row>
    <row r="789" ht="15.75" customHeight="1">
      <c r="E789" s="88"/>
    </row>
    <row r="790" ht="15.75" customHeight="1">
      <c r="E790" s="88"/>
    </row>
    <row r="791" ht="15.75" customHeight="1">
      <c r="E791" s="88"/>
    </row>
    <row r="792" ht="15.75" customHeight="1">
      <c r="E792" s="88"/>
    </row>
    <row r="793" ht="15.75" customHeight="1">
      <c r="E793" s="88"/>
    </row>
    <row r="794" ht="15.75" customHeight="1">
      <c r="E794" s="88"/>
    </row>
    <row r="795" ht="15.75" customHeight="1">
      <c r="E795" s="88"/>
    </row>
    <row r="796" ht="15.75" customHeight="1">
      <c r="E796" s="88"/>
    </row>
    <row r="797" ht="15.75" customHeight="1">
      <c r="E797" s="88"/>
    </row>
    <row r="798" ht="15.75" customHeight="1">
      <c r="E798" s="88"/>
    </row>
    <row r="799" ht="15.75" customHeight="1">
      <c r="E799" s="88"/>
    </row>
    <row r="800" ht="15.75" customHeight="1">
      <c r="E800" s="88"/>
    </row>
    <row r="801" ht="15.75" customHeight="1">
      <c r="E801" s="88"/>
    </row>
    <row r="802" ht="15.75" customHeight="1">
      <c r="E802" s="88"/>
    </row>
    <row r="803" ht="15.75" customHeight="1">
      <c r="E803" s="88"/>
    </row>
    <row r="804" ht="15.75" customHeight="1">
      <c r="E804" s="88"/>
    </row>
    <row r="805" ht="15.75" customHeight="1">
      <c r="E805" s="88"/>
    </row>
    <row r="806" ht="15.75" customHeight="1">
      <c r="E806" s="88"/>
    </row>
    <row r="807" ht="15.75" customHeight="1">
      <c r="E807" s="88"/>
    </row>
    <row r="808" ht="15.75" customHeight="1">
      <c r="E808" s="88"/>
    </row>
    <row r="809" ht="15.75" customHeight="1">
      <c r="E809" s="88"/>
    </row>
    <row r="810" ht="15.75" customHeight="1">
      <c r="E810" s="88"/>
    </row>
    <row r="811" ht="15.75" customHeight="1">
      <c r="E811" s="88"/>
    </row>
    <row r="812" ht="15.75" customHeight="1">
      <c r="E812" s="88"/>
    </row>
    <row r="813" ht="15.75" customHeight="1">
      <c r="E813" s="88"/>
    </row>
    <row r="814" ht="15.75" customHeight="1">
      <c r="E814" s="88"/>
    </row>
    <row r="815" ht="15.75" customHeight="1">
      <c r="E815" s="88"/>
    </row>
    <row r="816" ht="15.75" customHeight="1">
      <c r="E816" s="88"/>
    </row>
    <row r="817" ht="15.75" customHeight="1">
      <c r="E817" s="88"/>
    </row>
    <row r="818" ht="15.75" customHeight="1">
      <c r="E818" s="88"/>
    </row>
    <row r="819" ht="15.75" customHeight="1">
      <c r="E819" s="88"/>
    </row>
    <row r="820" ht="15.75" customHeight="1">
      <c r="E820" s="88"/>
    </row>
    <row r="821" ht="15.75" customHeight="1">
      <c r="E821" s="88"/>
    </row>
    <row r="822" ht="15.75" customHeight="1">
      <c r="E822" s="88"/>
    </row>
    <row r="823" ht="15.75" customHeight="1">
      <c r="E823" s="88"/>
    </row>
    <row r="824" ht="15.75" customHeight="1">
      <c r="E824" s="88"/>
    </row>
    <row r="825" ht="15.75" customHeight="1">
      <c r="E825" s="88"/>
    </row>
    <row r="826" ht="15.75" customHeight="1">
      <c r="E826" s="88"/>
    </row>
    <row r="827" ht="15.75" customHeight="1">
      <c r="E827" s="88"/>
    </row>
    <row r="828" ht="15.75" customHeight="1">
      <c r="E828" s="88"/>
    </row>
    <row r="829" ht="15.75" customHeight="1">
      <c r="E829" s="88"/>
    </row>
    <row r="830" ht="15.75" customHeight="1">
      <c r="E830" s="88"/>
    </row>
    <row r="831" ht="15.75" customHeight="1">
      <c r="E831" s="88"/>
    </row>
    <row r="832" ht="15.75" customHeight="1">
      <c r="E832" s="88"/>
    </row>
    <row r="833" ht="15.75" customHeight="1">
      <c r="E833" s="88"/>
    </row>
    <row r="834" ht="15.75" customHeight="1">
      <c r="E834" s="88"/>
    </row>
    <row r="835" ht="15.75" customHeight="1">
      <c r="E835" s="88"/>
    </row>
    <row r="836" ht="15.75" customHeight="1">
      <c r="E836" s="88"/>
    </row>
    <row r="837" ht="15.75" customHeight="1">
      <c r="E837" s="88"/>
    </row>
    <row r="838" ht="15.75" customHeight="1">
      <c r="E838" s="88"/>
    </row>
    <row r="839" ht="15.75" customHeight="1">
      <c r="E839" s="88"/>
    </row>
    <row r="840" ht="15.75" customHeight="1">
      <c r="E840" s="88"/>
    </row>
    <row r="841" ht="15.75" customHeight="1">
      <c r="E841" s="88"/>
    </row>
    <row r="842" ht="15.75" customHeight="1">
      <c r="E842" s="88"/>
    </row>
    <row r="843" ht="15.75" customHeight="1">
      <c r="E843" s="88"/>
    </row>
    <row r="844" ht="15.75" customHeight="1">
      <c r="E844" s="88"/>
    </row>
    <row r="845" ht="15.75" customHeight="1">
      <c r="E845" s="88"/>
    </row>
    <row r="846" ht="15.75" customHeight="1">
      <c r="E846" s="88"/>
    </row>
    <row r="847" ht="15.75" customHeight="1">
      <c r="E847" s="88"/>
    </row>
    <row r="848" ht="15.75" customHeight="1">
      <c r="E848" s="88"/>
    </row>
    <row r="849" ht="15.75" customHeight="1">
      <c r="E849" s="88"/>
    </row>
    <row r="850" ht="15.75" customHeight="1">
      <c r="E850" s="88"/>
    </row>
    <row r="851" ht="15.75" customHeight="1">
      <c r="E851" s="88"/>
    </row>
    <row r="852" ht="15.75" customHeight="1">
      <c r="E852" s="88"/>
    </row>
    <row r="853" ht="15.75" customHeight="1">
      <c r="E853" s="88"/>
    </row>
    <row r="854" ht="15.75" customHeight="1">
      <c r="E854" s="88"/>
    </row>
    <row r="855" ht="15.75" customHeight="1">
      <c r="E855" s="88"/>
    </row>
    <row r="856" ht="15.75" customHeight="1">
      <c r="E856" s="88"/>
    </row>
    <row r="857" ht="15.75" customHeight="1">
      <c r="E857" s="88"/>
    </row>
    <row r="858" ht="15.75" customHeight="1">
      <c r="E858" s="88"/>
    </row>
    <row r="859" ht="15.75" customHeight="1">
      <c r="E859" s="88"/>
    </row>
    <row r="860" ht="15.75" customHeight="1">
      <c r="E860" s="88"/>
    </row>
    <row r="861" ht="15.75" customHeight="1">
      <c r="E861" s="88"/>
    </row>
    <row r="862" ht="15.75" customHeight="1">
      <c r="E862" s="88"/>
    </row>
    <row r="863" ht="15.75" customHeight="1">
      <c r="E863" s="88"/>
    </row>
    <row r="864" ht="15.75" customHeight="1">
      <c r="E864" s="88"/>
    </row>
    <row r="865" ht="15.75" customHeight="1">
      <c r="E865" s="88"/>
    </row>
    <row r="866" ht="15.75" customHeight="1">
      <c r="E866" s="88"/>
    </row>
    <row r="867" ht="15.75" customHeight="1">
      <c r="E867" s="88"/>
    </row>
    <row r="868" ht="15.75" customHeight="1">
      <c r="E868" s="88"/>
    </row>
    <row r="869" ht="15.75" customHeight="1">
      <c r="E869" s="88"/>
    </row>
    <row r="870" ht="15.75" customHeight="1">
      <c r="E870" s="88"/>
    </row>
    <row r="871" ht="15.75" customHeight="1">
      <c r="E871" s="88"/>
    </row>
    <row r="872" ht="15.75" customHeight="1">
      <c r="E872" s="88"/>
    </row>
    <row r="873" ht="15.75" customHeight="1">
      <c r="E873" s="88"/>
    </row>
    <row r="874" ht="15.75" customHeight="1">
      <c r="E874" s="88"/>
    </row>
    <row r="875" ht="15.75" customHeight="1">
      <c r="E875" s="88"/>
    </row>
    <row r="876" ht="15.75" customHeight="1">
      <c r="E876" s="88"/>
    </row>
    <row r="877" ht="15.75" customHeight="1">
      <c r="E877" s="88"/>
    </row>
    <row r="878" ht="15.75" customHeight="1">
      <c r="E878" s="88"/>
    </row>
    <row r="879" ht="15.75" customHeight="1">
      <c r="E879" s="88"/>
    </row>
    <row r="880" ht="15.75" customHeight="1">
      <c r="E880" s="88"/>
    </row>
    <row r="881" ht="15.75" customHeight="1">
      <c r="E881" s="88"/>
    </row>
    <row r="882" ht="15.75" customHeight="1">
      <c r="E882" s="88"/>
    </row>
    <row r="883" ht="15.75" customHeight="1">
      <c r="E883" s="88"/>
    </row>
    <row r="884" ht="15.75" customHeight="1">
      <c r="E884" s="88"/>
    </row>
    <row r="885" ht="15.75" customHeight="1">
      <c r="E885" s="88"/>
    </row>
    <row r="886" ht="15.75" customHeight="1">
      <c r="E886" s="88"/>
    </row>
    <row r="887" ht="15.75" customHeight="1">
      <c r="E887" s="88"/>
    </row>
    <row r="888" ht="15.75" customHeight="1">
      <c r="E888" s="88"/>
    </row>
    <row r="889" ht="15.75" customHeight="1">
      <c r="E889" s="88"/>
    </row>
    <row r="890" ht="15.75" customHeight="1">
      <c r="E890" s="88"/>
    </row>
    <row r="891" ht="15.75" customHeight="1">
      <c r="E891" s="88"/>
    </row>
    <row r="892" ht="15.75" customHeight="1">
      <c r="E892" s="88"/>
    </row>
    <row r="893" ht="15.75" customHeight="1">
      <c r="E893" s="88"/>
    </row>
    <row r="894" ht="15.75" customHeight="1">
      <c r="E894" s="88"/>
    </row>
    <row r="895" ht="15.75" customHeight="1">
      <c r="E895" s="88"/>
    </row>
    <row r="896" ht="15.75" customHeight="1">
      <c r="E896" s="88"/>
    </row>
    <row r="897" ht="15.75" customHeight="1">
      <c r="E897" s="88"/>
    </row>
    <row r="898" ht="15.75" customHeight="1">
      <c r="E898" s="88"/>
    </row>
    <row r="899" ht="15.75" customHeight="1">
      <c r="E899" s="88"/>
    </row>
    <row r="900" ht="15.75" customHeight="1">
      <c r="E900" s="88"/>
    </row>
    <row r="901" ht="15.75" customHeight="1">
      <c r="E901" s="88"/>
    </row>
    <row r="902" ht="15.75" customHeight="1">
      <c r="E902" s="88"/>
    </row>
    <row r="903" ht="15.75" customHeight="1">
      <c r="E903" s="88"/>
    </row>
    <row r="904" ht="15.75" customHeight="1">
      <c r="E904" s="88"/>
    </row>
    <row r="905" ht="15.75" customHeight="1">
      <c r="E905" s="88"/>
    </row>
    <row r="906" ht="15.75" customHeight="1">
      <c r="E906" s="88"/>
    </row>
    <row r="907" ht="15.75" customHeight="1">
      <c r="E907" s="88"/>
    </row>
    <row r="908" ht="15.75" customHeight="1">
      <c r="E908" s="88"/>
    </row>
    <row r="909" ht="15.75" customHeight="1">
      <c r="E909" s="88"/>
    </row>
    <row r="910" ht="15.75" customHeight="1">
      <c r="E910" s="88"/>
    </row>
    <row r="911" ht="15.75" customHeight="1">
      <c r="E911" s="88"/>
    </row>
    <row r="912" ht="15.75" customHeight="1">
      <c r="E912" s="88"/>
    </row>
    <row r="913" ht="15.75" customHeight="1">
      <c r="E913" s="88"/>
    </row>
    <row r="914" ht="15.75" customHeight="1">
      <c r="E914" s="88"/>
    </row>
    <row r="915" ht="15.75" customHeight="1">
      <c r="E915" s="88"/>
    </row>
    <row r="916" ht="15.75" customHeight="1">
      <c r="E916" s="88"/>
    </row>
    <row r="917" ht="15.75" customHeight="1">
      <c r="E917" s="88"/>
    </row>
    <row r="918" ht="15.75" customHeight="1">
      <c r="E918" s="88"/>
    </row>
    <row r="919" ht="15.75" customHeight="1">
      <c r="E919" s="88"/>
    </row>
    <row r="920" ht="15.75" customHeight="1">
      <c r="E920" s="88"/>
    </row>
    <row r="921" ht="15.75" customHeight="1">
      <c r="E921" s="88"/>
    </row>
    <row r="922" ht="15.75" customHeight="1">
      <c r="E922" s="88"/>
    </row>
    <row r="923" ht="15.75" customHeight="1">
      <c r="E923" s="88"/>
    </row>
    <row r="924" ht="15.75" customHeight="1">
      <c r="E924" s="88"/>
    </row>
    <row r="925" ht="15.75" customHeight="1">
      <c r="E925" s="88"/>
    </row>
    <row r="926" ht="15.75" customHeight="1">
      <c r="E926" s="88"/>
    </row>
    <row r="927" ht="15.75" customHeight="1">
      <c r="E927" s="88"/>
    </row>
    <row r="928" ht="15.75" customHeight="1">
      <c r="E928" s="88"/>
    </row>
    <row r="929" ht="15.75" customHeight="1">
      <c r="E929" s="88"/>
    </row>
    <row r="930" ht="15.75" customHeight="1">
      <c r="E930" s="88"/>
    </row>
    <row r="931" ht="15.75" customHeight="1">
      <c r="E931" s="88"/>
    </row>
    <row r="932" ht="15.75" customHeight="1">
      <c r="E932" s="88"/>
    </row>
    <row r="933" ht="15.75" customHeight="1">
      <c r="E933" s="88"/>
    </row>
    <row r="934" ht="15.75" customHeight="1">
      <c r="E934" s="88"/>
    </row>
    <row r="935" ht="15.75" customHeight="1">
      <c r="E935" s="88"/>
    </row>
    <row r="936" ht="15.75" customHeight="1">
      <c r="E936" s="88"/>
    </row>
    <row r="937" ht="15.75" customHeight="1">
      <c r="E937" s="88"/>
    </row>
    <row r="938" ht="15.75" customHeight="1">
      <c r="E938" s="88"/>
    </row>
    <row r="939" ht="15.75" customHeight="1">
      <c r="E939" s="88"/>
    </row>
    <row r="940" ht="15.75" customHeight="1">
      <c r="E940" s="88"/>
    </row>
    <row r="941" ht="15.75" customHeight="1">
      <c r="E941" s="88"/>
    </row>
    <row r="942" ht="15.75" customHeight="1">
      <c r="E942" s="88"/>
    </row>
    <row r="943" ht="15.75" customHeight="1">
      <c r="E943" s="88"/>
    </row>
    <row r="944" ht="15.75" customHeight="1">
      <c r="E944" s="88"/>
    </row>
    <row r="945" ht="15.75" customHeight="1">
      <c r="E945" s="88"/>
    </row>
    <row r="946" ht="15.75" customHeight="1">
      <c r="E946" s="88"/>
    </row>
    <row r="947" ht="15.75" customHeight="1">
      <c r="E947" s="88"/>
    </row>
    <row r="948" ht="15.75" customHeight="1">
      <c r="E948" s="88"/>
    </row>
    <row r="949" ht="15.75" customHeight="1">
      <c r="E949" s="88"/>
    </row>
    <row r="950" ht="15.75" customHeight="1">
      <c r="E950" s="88"/>
    </row>
    <row r="951" ht="15.75" customHeight="1">
      <c r="E951" s="88"/>
    </row>
    <row r="952" ht="15.75" customHeight="1">
      <c r="E952" s="88"/>
    </row>
    <row r="953" ht="15.75" customHeight="1">
      <c r="E953" s="88"/>
    </row>
    <row r="954" ht="15.75" customHeight="1">
      <c r="E954" s="88"/>
    </row>
    <row r="955" ht="15.75" customHeight="1">
      <c r="E955" s="88"/>
    </row>
    <row r="956" ht="15.75" customHeight="1">
      <c r="E956" s="88"/>
    </row>
    <row r="957" ht="15.75" customHeight="1">
      <c r="E957" s="88"/>
    </row>
    <row r="958" ht="15.75" customHeight="1">
      <c r="E958" s="88"/>
    </row>
    <row r="959" ht="15.75" customHeight="1">
      <c r="E959" s="88"/>
    </row>
    <row r="960" ht="15.75" customHeight="1">
      <c r="E960" s="88"/>
    </row>
    <row r="961" ht="15.75" customHeight="1">
      <c r="E961" s="88"/>
    </row>
    <row r="962" ht="15.75" customHeight="1">
      <c r="E962" s="88"/>
    </row>
    <row r="963" ht="15.75" customHeight="1">
      <c r="E963" s="88"/>
    </row>
    <row r="964" ht="15.75" customHeight="1">
      <c r="E964" s="88"/>
    </row>
    <row r="965" ht="15.75" customHeight="1">
      <c r="E965" s="88"/>
    </row>
    <row r="966" ht="15.75" customHeight="1">
      <c r="E966" s="88"/>
    </row>
    <row r="967" ht="15.75" customHeight="1">
      <c r="E967" s="88"/>
    </row>
    <row r="968" ht="15.75" customHeight="1">
      <c r="E968" s="88"/>
    </row>
    <row r="969" ht="15.75" customHeight="1">
      <c r="E969" s="88"/>
    </row>
    <row r="970" ht="15.75" customHeight="1">
      <c r="E970" s="88"/>
    </row>
    <row r="971" ht="15.75" customHeight="1">
      <c r="E971" s="88"/>
    </row>
    <row r="972" ht="15.75" customHeight="1">
      <c r="E972" s="88"/>
    </row>
    <row r="973" ht="15.75" customHeight="1">
      <c r="E973" s="88"/>
    </row>
    <row r="974" ht="15.75" customHeight="1">
      <c r="E974" s="88"/>
    </row>
    <row r="975" ht="15.75" customHeight="1">
      <c r="E975" s="88"/>
    </row>
    <row r="976" ht="15.75" customHeight="1">
      <c r="E976" s="88"/>
    </row>
    <row r="977" ht="15.75" customHeight="1">
      <c r="E977" s="88"/>
    </row>
    <row r="978" ht="15.75" customHeight="1">
      <c r="E978" s="88"/>
    </row>
    <row r="979" ht="15.75" customHeight="1">
      <c r="E979" s="88"/>
    </row>
    <row r="980" ht="15.75" customHeight="1">
      <c r="E980" s="88"/>
    </row>
    <row r="981" ht="15.75" customHeight="1">
      <c r="E981" s="88"/>
    </row>
    <row r="982" ht="15.75" customHeight="1">
      <c r="E982" s="88"/>
    </row>
    <row r="983" ht="15.75" customHeight="1">
      <c r="E983" s="88"/>
    </row>
    <row r="984" ht="15.75" customHeight="1">
      <c r="E984" s="88"/>
    </row>
    <row r="985" ht="15.75" customHeight="1">
      <c r="E985" s="88"/>
    </row>
    <row r="986" ht="15.75" customHeight="1">
      <c r="E986" s="88"/>
    </row>
    <row r="987" ht="15.75" customHeight="1">
      <c r="E987" s="88"/>
    </row>
    <row r="988" ht="15.75" customHeight="1">
      <c r="E988" s="88"/>
    </row>
    <row r="989" ht="15.75" customHeight="1">
      <c r="E989" s="88"/>
    </row>
    <row r="990" ht="15.75" customHeight="1">
      <c r="E990" s="88"/>
    </row>
    <row r="991" ht="15.75" customHeight="1">
      <c r="E991" s="88"/>
    </row>
    <row r="992" ht="15.75" customHeight="1">
      <c r="E992" s="88"/>
    </row>
    <row r="993" ht="15.75" customHeight="1">
      <c r="E993" s="88"/>
    </row>
    <row r="994" ht="15.75" customHeight="1">
      <c r="E994" s="88"/>
    </row>
    <row r="995" ht="15.75" customHeight="1">
      <c r="E995" s="88"/>
    </row>
    <row r="996" ht="15.75" customHeight="1">
      <c r="E996" s="88"/>
    </row>
    <row r="997" ht="15.75" customHeight="1">
      <c r="E997" s="88"/>
    </row>
    <row r="998" ht="15.75" customHeight="1">
      <c r="E998" s="88"/>
    </row>
    <row r="999" ht="15.75" customHeight="1">
      <c r="E999" s="88"/>
    </row>
    <row r="1000" ht="15.75" customHeight="1">
      <c r="E1000" s="88"/>
    </row>
    <row r="1001" ht="15.75" customHeight="1">
      <c r="E1001" s="88"/>
    </row>
    <row r="1002" ht="15.75" customHeight="1">
      <c r="E1002" s="88"/>
    </row>
    <row r="1003" ht="15.75" customHeight="1">
      <c r="E1003" s="88"/>
    </row>
    <row r="1004" ht="15.75" customHeight="1">
      <c r="E1004" s="88"/>
    </row>
    <row r="1005" ht="15.75" customHeight="1">
      <c r="E1005" s="88"/>
    </row>
  </sheetData>
  <mergeCells count="21">
    <mergeCell ref="A2:E2"/>
    <mergeCell ref="C6:E6"/>
    <mergeCell ref="C9:E9"/>
    <mergeCell ref="A14:E14"/>
    <mergeCell ref="C15:E15"/>
    <mergeCell ref="C20:E20"/>
    <mergeCell ref="A27:E27"/>
    <mergeCell ref="C53:E53"/>
    <mergeCell ref="A58:E58"/>
    <mergeCell ref="A62:E62"/>
    <mergeCell ref="C63:E63"/>
    <mergeCell ref="C68:E68"/>
    <mergeCell ref="C71:E71"/>
    <mergeCell ref="A73:E73"/>
    <mergeCell ref="C28:E28"/>
    <mergeCell ref="C29:E29"/>
    <mergeCell ref="C31:E31"/>
    <mergeCell ref="A41:E41"/>
    <mergeCell ref="A44:E44"/>
    <mergeCell ref="C45:E45"/>
    <mergeCell ref="C48:E48"/>
  </mergeCells>
  <printOptions/>
  <pageMargins bottom="0.3968052380549206" footer="0.0" header="0.0" left="0.5151506599309496" right="0.25" top="0.4107282288638652"/>
  <pageSetup paperSize="11" orientation="portrait"/>
  <rowBreaks count="4" manualBreakCount="4">
    <brk id="25" man="1"/>
    <brk id="42" man="1"/>
    <brk id="59" man="1"/>
    <brk id="12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6.14"/>
    <col customWidth="1" min="3" max="3" width="12.29"/>
    <col customWidth="1" min="4" max="4" width="9.71"/>
    <col customWidth="1" min="5" max="5" width="14.71"/>
    <col customWidth="1" min="6" max="6" width="15.14"/>
    <col customWidth="1" min="7" max="7" width="20.14"/>
  </cols>
  <sheetData>
    <row r="1" ht="40.5" customHeight="1">
      <c r="A1" s="92" t="s">
        <v>1484</v>
      </c>
      <c r="B1" s="93" t="s">
        <v>1485</v>
      </c>
      <c r="C1" s="94" t="s">
        <v>1486</v>
      </c>
      <c r="D1" s="95" t="s">
        <v>1487</v>
      </c>
      <c r="E1" s="94" t="s">
        <v>1488</v>
      </c>
      <c r="F1" s="92" t="s">
        <v>1423</v>
      </c>
      <c r="G1" s="93" t="s">
        <v>1489</v>
      </c>
    </row>
    <row r="2" ht="15.75" customHeight="1">
      <c r="A2" s="96" t="s">
        <v>1490</v>
      </c>
      <c r="B2" s="97"/>
      <c r="C2" s="98">
        <v>15.0</v>
      </c>
      <c r="D2" s="99"/>
      <c r="E2" s="96" t="s">
        <v>1491</v>
      </c>
      <c r="F2" s="97"/>
      <c r="G2" s="100"/>
    </row>
    <row r="3" ht="48.0" customHeight="1">
      <c r="A3" s="101" t="str">
        <f>VLOOKUP(C2,'C++ viti III'!A2:P110,2,FALSE)</f>
        <v>Lenda1 Tema15</v>
      </c>
      <c r="E3" s="101" t="str">
        <f>VLOOKUP(C2,'C++ viti III'!A2:P110,5,FALSE)</f>
        <v>Situata 15</v>
      </c>
      <c r="G3" s="102"/>
    </row>
    <row r="4" ht="42.0" customHeight="1">
      <c r="A4" s="96" t="s">
        <v>8</v>
      </c>
      <c r="B4" s="97"/>
      <c r="C4" s="97"/>
      <c r="D4" s="100"/>
      <c r="E4" s="103" t="s">
        <v>1492</v>
      </c>
      <c r="F4" s="104" t="str">
        <f>VLOOKUP(C2,'C++ viti III'!A2:P110,10,FALSE)</f>
        <v>Fjale Kyce 15</v>
      </c>
      <c r="G4" s="105"/>
    </row>
    <row r="5" ht="45.75" customHeight="1">
      <c r="A5" s="106" t="str">
        <f>VLOOKUP(C2,'C++ viti III'!A2:P110,9,FALSE)</f>
        <v>Rezultati 15</v>
      </c>
      <c r="D5" s="102"/>
      <c r="E5" s="96" t="s">
        <v>10</v>
      </c>
      <c r="F5" s="97"/>
      <c r="G5" s="100"/>
    </row>
    <row r="6" ht="45.0" customHeight="1">
      <c r="A6" s="107"/>
      <c r="B6" s="108"/>
      <c r="C6" s="108"/>
      <c r="D6" s="109"/>
      <c r="E6" s="110" t="str">
        <f>VLOOKUP(C2,'C++ viti III'!A2:P110,11,FALSE)</f>
        <v>Lidhja me fushat e tjera 15</v>
      </c>
      <c r="F6" s="108"/>
      <c r="G6" s="109"/>
    </row>
    <row r="7" ht="15.75" customHeight="1">
      <c r="A7" s="111" t="s">
        <v>7</v>
      </c>
      <c r="E7" s="96" t="s">
        <v>5</v>
      </c>
      <c r="F7" s="97"/>
      <c r="G7" s="100"/>
    </row>
    <row r="8" ht="48.0" customHeight="1">
      <c r="A8" s="101" t="str">
        <f>VLOOKUP(C2,'C++ viti III'!A2:P110,8,FALSE)</f>
        <v>Burimi 15</v>
      </c>
      <c r="E8" s="112" t="str">
        <f>VLOOKUP(C2,'C++ viti III'!A2:P110,6,FALSE)</f>
        <v>Metodologjia 15</v>
      </c>
      <c r="F8" s="108"/>
      <c r="G8" s="109"/>
    </row>
    <row r="9" ht="15.75" customHeight="1">
      <c r="A9" s="96" t="s">
        <v>11</v>
      </c>
      <c r="B9" s="97"/>
      <c r="C9" s="97"/>
      <c r="D9" s="97"/>
      <c r="E9" s="97"/>
      <c r="F9" s="97"/>
      <c r="G9" s="100"/>
    </row>
    <row r="10">
      <c r="A10" s="106" t="str">
        <f>VLOOKUP(C2,'C++ viti III'!A2:P110,14,FALSE)</f>
        <v>Organizimi 15</v>
      </c>
      <c r="G10" s="102"/>
    </row>
    <row r="11" ht="50.25" customHeight="1">
      <c r="A11" s="113" t="s">
        <v>13</v>
      </c>
      <c r="B11" s="114"/>
      <c r="C11" s="114"/>
      <c r="D11" s="115" t="str">
        <f>VLOOKUP(C2,'C++ viti III'!A2:P110,16,FALSE)</f>
        <v>Kompetenca 15</v>
      </c>
      <c r="E11" s="114"/>
      <c r="F11" s="114"/>
      <c r="G11" s="105"/>
    </row>
    <row r="12" ht="40.5" customHeight="1">
      <c r="A12" s="116" t="s">
        <v>6</v>
      </c>
      <c r="B12" s="114"/>
      <c r="C12" s="117" t="str">
        <f>VLOOKUP(C2,'C++ viti III'!A2:P110,7,FALSE)</f>
        <v>Vleresimi 15</v>
      </c>
      <c r="D12" s="114"/>
      <c r="E12" s="114"/>
      <c r="F12" s="114"/>
      <c r="G12" s="105"/>
    </row>
    <row r="13" ht="24.0" customHeight="1">
      <c r="A13" s="96" t="s">
        <v>1493</v>
      </c>
      <c r="B13" s="97"/>
      <c r="C13" s="97"/>
      <c r="D13" s="97"/>
      <c r="E13" s="100"/>
      <c r="F13" s="118" t="s">
        <v>12</v>
      </c>
      <c r="G13" s="100"/>
    </row>
    <row r="14">
      <c r="A14" s="119" t="str">
        <f>VLOOKUP(C2,'C++ viti III'!A2:P110,15,FALSE)</f>
        <v>Detyre shtepie 1:</v>
      </c>
      <c r="B14" s="108"/>
      <c r="C14" s="108"/>
      <c r="D14" s="108"/>
      <c r="E14" s="109"/>
      <c r="F14" s="119" t="str">
        <f>VLOOKUP(C2,'C++ viti III'!A2:P110,3,FALSE)</f>
        <v>Detyre shtepie 15</v>
      </c>
      <c r="G14" s="109"/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E5:G5"/>
    <mergeCell ref="E6:G6"/>
    <mergeCell ref="A2:B2"/>
    <mergeCell ref="E2:G2"/>
    <mergeCell ref="A3:D3"/>
    <mergeCell ref="E3:G3"/>
    <mergeCell ref="A4:D4"/>
    <mergeCell ref="F4:G4"/>
    <mergeCell ref="A5:D6"/>
    <mergeCell ref="A11:C11"/>
    <mergeCell ref="A12:B12"/>
    <mergeCell ref="C12:G12"/>
    <mergeCell ref="A13:E13"/>
    <mergeCell ref="F13:G13"/>
    <mergeCell ref="A14:E14"/>
    <mergeCell ref="F14:G14"/>
    <mergeCell ref="A7:D7"/>
    <mergeCell ref="E7:G7"/>
    <mergeCell ref="A8:D8"/>
    <mergeCell ref="E8:G8"/>
    <mergeCell ref="A9:G9"/>
    <mergeCell ref="A10:G10"/>
    <mergeCell ref="D11:G11"/>
  </mergeCells>
  <printOptions/>
  <pageMargins bottom="0.75" footer="0.0" header="0.0" left="0.44432920754922967" right="0.0" top="0.40393564322657244"/>
  <pageSetup paperSize="11" scale="73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5.0"/>
    <col customWidth="1" min="3" max="3" width="9.29"/>
    <col customWidth="1" min="4" max="4" width="12.86"/>
    <col customWidth="1" min="5" max="5" width="14.71"/>
    <col customWidth="1" min="6" max="6" width="15.14"/>
    <col customWidth="1" min="7" max="7" width="24.71"/>
  </cols>
  <sheetData>
    <row r="1" ht="26.25" customHeight="1">
      <c r="A1" s="120" t="s">
        <v>1484</v>
      </c>
      <c r="B1" s="121" t="s">
        <v>1485</v>
      </c>
      <c r="C1" s="122" t="s">
        <v>1486</v>
      </c>
      <c r="D1" s="123" t="s">
        <v>1494</v>
      </c>
      <c r="E1" s="122" t="s">
        <v>1488</v>
      </c>
      <c r="F1" s="120" t="s">
        <v>1423</v>
      </c>
      <c r="G1" s="121" t="s">
        <v>1495</v>
      </c>
    </row>
    <row r="2" ht="18.75" customHeight="1">
      <c r="A2" s="124" t="s">
        <v>1496</v>
      </c>
      <c r="B2" s="97"/>
      <c r="C2" s="125">
        <v>44.0</v>
      </c>
      <c r="D2" s="126"/>
      <c r="E2" s="124" t="s">
        <v>1497</v>
      </c>
      <c r="F2" s="97"/>
      <c r="G2" s="100"/>
    </row>
    <row r="3" ht="61.5" customHeight="1">
      <c r="A3" s="127" t="str">
        <f>VLOOKUP(C2,'JAVA viti IV'!A3:P126,2,FALSE)</f>
        <v>Lenda 2 tema 44</v>
      </c>
      <c r="E3" s="127" t="str">
        <f>VLOOKUP(C2,'JAVA viti IV'!A3:P126,5,FALSE)</f>
        <v>Situata 44</v>
      </c>
      <c r="G3" s="102"/>
    </row>
    <row r="4" ht="50.25" customHeight="1">
      <c r="A4" s="124" t="s">
        <v>8</v>
      </c>
      <c r="B4" s="97"/>
      <c r="C4" s="97"/>
      <c r="D4" s="100"/>
      <c r="E4" s="128" t="s">
        <v>1498</v>
      </c>
      <c r="F4" s="129" t="str">
        <f>VLOOKUP(C2,'JAVA viti IV'!A3:P126,10,FALSE)</f>
        <v>Fjale Kyce 44</v>
      </c>
      <c r="G4" s="105"/>
    </row>
    <row r="5" ht="50.25" customHeight="1">
      <c r="A5" s="130" t="str">
        <f>VLOOKUP(C2,'JAVA viti IV'!A3:P126,9,FALSE)</f>
        <v>Rezultati 44</v>
      </c>
      <c r="D5" s="102"/>
      <c r="E5" s="124" t="s">
        <v>10</v>
      </c>
      <c r="F5" s="97"/>
      <c r="G5" s="100"/>
    </row>
    <row r="6" ht="48.75" customHeight="1">
      <c r="A6" s="107"/>
      <c r="B6" s="108"/>
      <c r="C6" s="108"/>
      <c r="D6" s="109"/>
      <c r="E6" s="131" t="str">
        <f>VLOOKUP(C2,'JAVA viti IV'!A3:P126,11,FALSE)</f>
        <v>Lidhja me fushat e tjera 44</v>
      </c>
      <c r="F6" s="108"/>
      <c r="G6" s="109"/>
    </row>
    <row r="7" ht="41.25" customHeight="1">
      <c r="A7" s="132" t="s">
        <v>7</v>
      </c>
      <c r="E7" s="124" t="s">
        <v>5</v>
      </c>
      <c r="F7" s="97"/>
      <c r="G7" s="100"/>
    </row>
    <row r="8" ht="45.75" customHeight="1">
      <c r="A8" s="127" t="str">
        <f>VLOOKUP(C2,'JAVA viti IV'!A3:P126,8,FALSE)</f>
        <v>Burimi 44</v>
      </c>
      <c r="E8" s="133" t="str">
        <f>VLOOKUP(C2,'JAVA viti IV'!A3:P126,6,FALSE)</f>
        <v>Metodologjia 44</v>
      </c>
      <c r="F8" s="108"/>
      <c r="G8" s="109"/>
    </row>
    <row r="9" ht="18.75" customHeight="1">
      <c r="A9" s="124" t="s">
        <v>11</v>
      </c>
      <c r="B9" s="97"/>
      <c r="C9" s="97"/>
      <c r="D9" s="97"/>
      <c r="E9" s="97"/>
      <c r="F9" s="97"/>
      <c r="G9" s="100"/>
    </row>
    <row r="10" ht="189.0" customHeight="1">
      <c r="A10" s="134" t="str">
        <f>VLOOKUP(C2,'JAVA viti IV'!A3:P126,14,FALSE)</f>
        <v>Organizimi 44</v>
      </c>
      <c r="B10" s="108"/>
      <c r="C10" s="108"/>
      <c r="D10" s="108"/>
      <c r="E10" s="108"/>
      <c r="F10" s="108"/>
      <c r="G10" s="109"/>
    </row>
    <row r="11" ht="52.5" customHeight="1">
      <c r="A11" s="135" t="s">
        <v>13</v>
      </c>
      <c r="B11" s="114"/>
      <c r="C11" s="114"/>
      <c r="D11" s="136" t="str">
        <f>VLOOKUP(C2,'JAVA viti IV'!A3:P126,16,FALSE)</f>
        <v>Kompetenca 44</v>
      </c>
      <c r="E11" s="114"/>
      <c r="F11" s="114"/>
      <c r="G11" s="105"/>
    </row>
    <row r="12" ht="41.25" customHeight="1">
      <c r="A12" s="124" t="s">
        <v>6</v>
      </c>
      <c r="B12" s="97"/>
      <c r="C12" s="137" t="str">
        <f>VLOOKUP(C2,'JAVA viti IV'!A3:P126,7,FALSE)</f>
        <v>Vleresimi 44</v>
      </c>
      <c r="D12" s="97"/>
      <c r="E12" s="97"/>
      <c r="F12" s="97"/>
      <c r="G12" s="100"/>
    </row>
    <row r="13" ht="19.5" customHeight="1">
      <c r="A13" s="124" t="s">
        <v>1493</v>
      </c>
      <c r="B13" s="97"/>
      <c r="C13" s="97"/>
      <c r="D13" s="97"/>
      <c r="E13" s="100"/>
      <c r="F13" s="138" t="s">
        <v>12</v>
      </c>
      <c r="G13" s="100"/>
    </row>
    <row r="14" ht="103.5" customHeight="1">
      <c r="A14" s="134" t="str">
        <f>VLOOKUP(C2,'JAVA viti IV'!A3:P126,15,FALSE)</f>
        <v>Detyre shtepie 1:</v>
      </c>
      <c r="B14" s="108"/>
      <c r="C14" s="108"/>
      <c r="D14" s="108"/>
      <c r="E14" s="109"/>
      <c r="F14" s="139" t="str">
        <f>VLOOKUP(C2,'JAVA viti IV'!A3:P126,3,FALSE)</f>
        <v>Detyre shtepie 44</v>
      </c>
      <c r="G14" s="105"/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E5:G5"/>
    <mergeCell ref="E6:G6"/>
    <mergeCell ref="A2:B2"/>
    <mergeCell ref="E2:G2"/>
    <mergeCell ref="A3:D3"/>
    <mergeCell ref="E3:G3"/>
    <mergeCell ref="A4:D4"/>
    <mergeCell ref="F4:G4"/>
    <mergeCell ref="A5:D6"/>
    <mergeCell ref="A11:C11"/>
    <mergeCell ref="A12:B12"/>
    <mergeCell ref="C12:G12"/>
    <mergeCell ref="A13:E13"/>
    <mergeCell ref="F13:G13"/>
    <mergeCell ref="A14:E14"/>
    <mergeCell ref="F14:G14"/>
    <mergeCell ref="A7:D7"/>
    <mergeCell ref="E7:G7"/>
    <mergeCell ref="A8:D8"/>
    <mergeCell ref="E8:G8"/>
    <mergeCell ref="A9:G9"/>
    <mergeCell ref="A10:G10"/>
    <mergeCell ref="D11:G11"/>
  </mergeCells>
  <printOptions/>
  <pageMargins bottom="0.41" footer="0.0" header="0.0" left="0.64" right="0.17" top="0.38"/>
  <pageSetup paperSize="11" scale="6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2002-12-02T21:34:20Z</dcterms:created>
  <dc:creator>.</dc:creator>
</cp:coreProperties>
</file>